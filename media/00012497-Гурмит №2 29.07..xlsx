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Июль\"/>
    </mc:Choice>
  </mc:AlternateContent>
  <xr:revisionPtr revIDLastSave="0" documentId="13_ncr:1_{AAF0A41F-8EB0-41EA-B915-D0F3BF14863A}" xr6:coauthVersionLast="47" xr6:coauthVersionMax="47" xr10:uidLastSave="{00000000-0000-0000-0000-000000000000}"/>
  <bookViews>
    <workbookView xWindow="20685" yWindow="1080" windowWidth="14280" windowHeight="19635" xr2:uid="{00000000-000D-0000-FFFF-FFFF00000000}"/>
  </bookViews>
  <sheets>
    <sheet name="Лист1" sheetId="1" r:id="rId1"/>
  </sheets>
  <definedNames>
    <definedName name="_xlnm.Print_Area" localSheetId="0">Лист1!$A$1:$G$131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G121" i="1"/>
  <c r="G130" i="1"/>
  <c r="G126" i="1"/>
  <c r="G114" i="1"/>
  <c r="G108" i="1"/>
  <c r="G95" i="1"/>
  <c r="G85" i="1"/>
  <c r="G73" i="1"/>
  <c r="G66" i="1"/>
</calcChain>
</file>

<file path=xl/sharedStrings.xml><?xml version="1.0" encoding="utf-8"?>
<sst xmlns="http://schemas.openxmlformats.org/spreadsheetml/2006/main" count="240" uniqueCount="123">
  <si>
    <t>Отгрузка товара до 17:30</t>
  </si>
  <si>
    <t>Пятница: выходной день</t>
  </si>
  <si>
    <t>email: sbs.company8989@mail.ru</t>
  </si>
  <si>
    <t>тел: 8-928-584-05-55</t>
  </si>
  <si>
    <t>Заказчик:</t>
  </si>
  <si>
    <t>Объект:</t>
  </si>
  <si>
    <t>Тел:</t>
  </si>
  <si>
    <t>Наименование</t>
  </si>
  <si>
    <t>Толщ.</t>
  </si>
  <si>
    <t>Кол.</t>
  </si>
  <si>
    <t>Ед.изм.</t>
  </si>
  <si>
    <t xml:space="preserve">Площ. </t>
  </si>
  <si>
    <t xml:space="preserve">Режим работы с 9:00 до 18:00 </t>
  </si>
  <si>
    <t>(перерыв с 13:00 до 14:00)</t>
  </si>
  <si>
    <r>
      <rPr>
        <b/>
        <sz val="16"/>
        <color theme="1"/>
        <rFont val="Times New Roman"/>
        <family val="1"/>
        <charset val="204"/>
      </rPr>
      <t>Внимание!!!</t>
    </r>
    <r>
      <rPr>
        <b/>
        <sz val="12"/>
        <color theme="1"/>
        <rFont val="Times New Roman"/>
        <family val="1"/>
        <charset val="204"/>
      </rPr>
      <t xml:space="preserve"> Фирма не несет ответственность за товар, оставленный на складе более 3-х дней!</t>
    </r>
  </si>
  <si>
    <t>шт</t>
  </si>
  <si>
    <t>Заказ готов  ______  июля 2025 г.</t>
  </si>
  <si>
    <t>Заказ  покупателя № _____ от 29   июля 2025 г.</t>
  </si>
  <si>
    <t>Нариман</t>
  </si>
  <si>
    <t>Ресторан "Гурмит"</t>
  </si>
  <si>
    <t>Воздуховод Ø500 L1250</t>
  </si>
  <si>
    <t>Воздуховод Ø500 L250</t>
  </si>
  <si>
    <t>Воздуховод Ø400 L1250</t>
  </si>
  <si>
    <t>Воздуховод Ø400 L750</t>
  </si>
  <si>
    <t>Воздуховод 400х300 L1250</t>
  </si>
  <si>
    <t>Воздуховод 400х300 L1000</t>
  </si>
  <si>
    <t>Воздуховод 400х300 L600</t>
  </si>
  <si>
    <t>Воздуховод Ø315 L1000</t>
  </si>
  <si>
    <t>Воздуховод Ø280 L1250</t>
  </si>
  <si>
    <t>Воздуховод Ø250 L1250</t>
  </si>
  <si>
    <t>Воздуховод Ø250 L750</t>
  </si>
  <si>
    <t>Воздуховод Ø200 L250</t>
  </si>
  <si>
    <t>Отвод 90° Ø400</t>
  </si>
  <si>
    <t>Отвод 90° Ø500</t>
  </si>
  <si>
    <t>Отвод 30° Ø400</t>
  </si>
  <si>
    <t>Отвод 30° Ø500</t>
  </si>
  <si>
    <t>Отвод 90° Ø315</t>
  </si>
  <si>
    <t>Отвод 60° Ø280</t>
  </si>
  <si>
    <t>Отвод 90° Ø250</t>
  </si>
  <si>
    <t>Отвод 90° Ø200</t>
  </si>
  <si>
    <t>Отвод 90° 400х300</t>
  </si>
  <si>
    <t>Отвод 90° 300х400</t>
  </si>
  <si>
    <t>Отвод 60° 300х400</t>
  </si>
  <si>
    <t>Переход концентр 400х300хØ315 L300</t>
  </si>
  <si>
    <t>Переход концентр Ø315хØ280 L200</t>
  </si>
  <si>
    <t>Переход концентр Ø280хØ250 L150</t>
  </si>
  <si>
    <t>Тройник Ø280хØ280хØ280</t>
  </si>
  <si>
    <t>Тройник Ø280хØ250хØ280</t>
  </si>
  <si>
    <t>Тройник Ø250хØ200хØ250</t>
  </si>
  <si>
    <t>Врезка Ø250 L100</t>
  </si>
  <si>
    <t>В5 (санузлы)</t>
  </si>
  <si>
    <t>В6 (санузел)</t>
  </si>
  <si>
    <t>Воздуховод Ø200 L1250</t>
  </si>
  <si>
    <t>Воздуховод Ø200 L500</t>
  </si>
  <si>
    <t>Воздуховод Ø160 L1250</t>
  </si>
  <si>
    <t>Воздуховод Ø160 L250</t>
  </si>
  <si>
    <t>Воздуховод Ø125 L1250</t>
  </si>
  <si>
    <t>Воздуховод Ø100 L1250</t>
  </si>
  <si>
    <t>Воздуховод Ø100 L200</t>
  </si>
  <si>
    <t xml:space="preserve">Отвод 90° Ø200 </t>
  </si>
  <si>
    <t xml:space="preserve">Отвод 30° Ø200 </t>
  </si>
  <si>
    <t>Отвод 90° Ø160</t>
  </si>
  <si>
    <t>Отвод 45° Ø160</t>
  </si>
  <si>
    <t xml:space="preserve">Отвод 90° Ø100 </t>
  </si>
  <si>
    <t xml:space="preserve">Отвод 45° Ø100 </t>
  </si>
  <si>
    <t xml:space="preserve">Отвод 35° Ø100 </t>
  </si>
  <si>
    <t xml:space="preserve">Тройник Ø160хØ100хØ160 </t>
  </si>
  <si>
    <t>Переход концентр Ø160хØ125 L150</t>
  </si>
  <si>
    <t>Отвод 90° 500х1000</t>
  </si>
  <si>
    <t>Отвод 90° 700х700</t>
  </si>
  <si>
    <t>Переход эксцентр 1000х500х700х700 L500</t>
  </si>
  <si>
    <t>Переход концентр 1260х640х1000х500 L400</t>
  </si>
  <si>
    <t>В2 (кухня вытяжка)</t>
  </si>
  <si>
    <t xml:space="preserve">Воздуховод 400х300 L400 </t>
  </si>
  <si>
    <t xml:space="preserve">Воздуховод 400х300  L1000 </t>
  </si>
  <si>
    <t>Переход концентр 720х350х300х400 L300</t>
  </si>
  <si>
    <t>В3 (кухня)</t>
  </si>
  <si>
    <t xml:space="preserve">Отвод 90° Ø500 </t>
  </si>
  <si>
    <t>Переход концентр 880х500хØ500 L400</t>
  </si>
  <si>
    <t>В4 (кухня)</t>
  </si>
  <si>
    <t>Переход концентр 880х500хØ400 L400</t>
  </si>
  <si>
    <t xml:space="preserve">Воздуховод Ø500 L1250 </t>
  </si>
  <si>
    <t xml:space="preserve">Воздуховод Ø400 L1250 </t>
  </si>
  <si>
    <t>Воздуховод Ø500 L1000</t>
  </si>
  <si>
    <t>Воздуховод Ø400 L1000</t>
  </si>
  <si>
    <t>Переход концентр Ø125хØ100 L150</t>
  </si>
  <si>
    <t>Воздуховод Ø100 L1000</t>
  </si>
  <si>
    <t>П1 В1 (приток зал)</t>
  </si>
  <si>
    <t xml:space="preserve">Воздуховод 1000х500 L1250 </t>
  </si>
  <si>
    <t xml:space="preserve">Воздуховод 1000х500 L1000 </t>
  </si>
  <si>
    <t>Воздуховод 1000х500 L 600</t>
  </si>
  <si>
    <t>Воздуховод 700х700 L1250</t>
  </si>
  <si>
    <t xml:space="preserve">Воздуховод 700х700 L 900 </t>
  </si>
  <si>
    <t>Переход концентр 1000х500х700х700 L500</t>
  </si>
  <si>
    <t>П1 В1 (вытяжка зал)</t>
  </si>
  <si>
    <t xml:space="preserve">Воздуховод 700х400 L1250 </t>
  </si>
  <si>
    <t>Воздуховод 700х400 L1000</t>
  </si>
  <si>
    <t>Воздуховод 700х400 L900</t>
  </si>
  <si>
    <t>Воздуховод 700х400 L500</t>
  </si>
  <si>
    <t>Отвод 90° 700х400</t>
  </si>
  <si>
    <t>Отвод 90° 400х700</t>
  </si>
  <si>
    <t>Отвод 45° 400х700</t>
  </si>
  <si>
    <t>Переход эксцентр 400х700х700х400 L400</t>
  </si>
  <si>
    <t>Переход эксцентр 1260х640х700х400 L500</t>
  </si>
  <si>
    <t>П2 (кухня приток)</t>
  </si>
  <si>
    <t>Воздуховод  1260х640  L400</t>
  </si>
  <si>
    <t>Воздуховод 1000х500  L1000</t>
  </si>
  <si>
    <t xml:space="preserve">Воздуховод 700х700  L1250 </t>
  </si>
  <si>
    <t xml:space="preserve">Воздуховод 700х700 L1000 </t>
  </si>
  <si>
    <t>Отвод 90° 1260х640</t>
  </si>
  <si>
    <t>Отвод 90° 1000х500</t>
  </si>
  <si>
    <t>Отвод 15° 500х1000</t>
  </si>
  <si>
    <t>Тройник Ø200хØ160хØ200</t>
  </si>
  <si>
    <t xml:space="preserve">Тройник Ø125хØ100хØ125 </t>
  </si>
  <si>
    <t>Переход концентр Ø200хØ160  L200</t>
  </si>
  <si>
    <t xml:space="preserve">Отвод 90° 300х400 </t>
  </si>
  <si>
    <t xml:space="preserve">Воздуховод Ø200 L1250 </t>
  </si>
  <si>
    <t>В3 В4 В2</t>
  </si>
  <si>
    <t>Отпустил _______                        Принял__________</t>
  </si>
  <si>
    <t>0,7 - 338,09 м2 - 422.612 р.</t>
  </si>
  <si>
    <t>0,5 - 97,995 м2 - 107.795 р.</t>
  </si>
  <si>
    <t>Итого: 530.408 р.</t>
  </si>
  <si>
    <t>436,085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</si>
</sst>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i/>
      <sz val="14"/>
      <color theme="4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theme="4" tint="-0.249977111117893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b/>
      <u/>
      <sz val="16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419D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1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3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0" borderId="9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/>
    <xf numFmtId="0" fontId="13" fillId="0" borderId="0" xfId="0" applyFont="1"/>
    <xf numFmtId="0" fontId="7" fillId="0" borderId="0" xfId="0" applyFont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left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1" fontId="17" fillId="0" borderId="13" xfId="0" applyNumberFormat="1" applyFont="1" applyBorder="1" applyAlignment="1">
      <alignment horizontal="center" vertical="top" shrinkToFit="1"/>
    </xf>
    <xf numFmtId="1" fontId="17" fillId="0" borderId="15" xfId="0" applyNumberFormat="1" applyFont="1" applyBorder="1" applyAlignment="1">
      <alignment horizontal="center" vertical="top" shrinkToFit="1"/>
    </xf>
    <xf numFmtId="1" fontId="17" fillId="0" borderId="1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5" fillId="0" borderId="0" xfId="0" applyFont="1" applyBorder="1" applyAlignment="1">
      <alignment horizontal="left" vertical="top" wrapText="1"/>
    </xf>
    <xf numFmtId="0" fontId="15" fillId="4" borderId="10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mruColors>
      <color rgb="FF0099CC"/>
      <color rgb="FF006699"/>
      <color rgb="FF2D7AF7"/>
      <color rgb="FF3C69E8"/>
      <color rgb="FF143CAC"/>
      <color rgb="FF1647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176893</xdr:colOff>
      <xdr:row>1</xdr:row>
      <xdr:rowOff>68036</xdr:rowOff>
    </xdr:from>
    <xdr:to>
      <xdr:col>2</xdr:col>
      <xdr:colOff>1877786</xdr:colOff>
      <xdr:row>5</xdr:row>
      <xdr:rowOff>54429</xdr:rowOff>
    </xdr:to>
    <xdr:pic>
      <xdr:nvPicPr>
        <xdr:cNvPr id="2" name="Изображение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79" y="312965"/>
          <a:ext cx="2367643" cy="966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topLeftCell="B99" zoomScale="85" zoomScaleNormal="85" workbookViewId="0">
      <selection activeCell="J116" sqref="J116"/>
    </sheetView>
  </sheetViews>
  <sheetFormatPr defaultColWidth="9" defaultRowHeight="15" x14ac:dyDescent="0.25"/>
  <cols>
    <col min="1" max="1" width="5.28515625" style="5" customWidth="1"/>
    <col min="2" max="2" width="10" style="6" customWidth="1"/>
    <col min="3" max="3" width="62.85546875" style="5" customWidth="1"/>
    <col min="4" max="4" width="8.140625" style="5" customWidth="1"/>
    <col min="5" max="5" width="6.28515625" style="6" customWidth="1"/>
    <col min="6" max="6" width="9.140625" style="6"/>
    <col min="7" max="7" width="9.7109375" style="6" customWidth="1"/>
    <col min="8" max="16383" width="9.140625" style="5"/>
    <col min="16384" max="16384" width="9" style="5"/>
  </cols>
  <sheetData>
    <row r="1" spans="1:7" ht="18.75" x14ac:dyDescent="0.3">
      <c r="A1" s="61"/>
      <c r="B1" s="61"/>
      <c r="C1" s="62" t="s">
        <v>12</v>
      </c>
      <c r="D1" s="62"/>
      <c r="E1" s="62"/>
      <c r="F1" s="62"/>
      <c r="G1" s="62"/>
    </row>
    <row r="2" spans="1:7" ht="18.75" x14ac:dyDescent="0.3">
      <c r="A2" s="61"/>
      <c r="B2" s="61"/>
      <c r="C2" s="63" t="s">
        <v>13</v>
      </c>
      <c r="D2" s="63"/>
      <c r="E2" s="63"/>
      <c r="F2" s="63"/>
      <c r="G2" s="63"/>
    </row>
    <row r="3" spans="1:7" s="1" customFormat="1" ht="18.75" x14ac:dyDescent="0.3">
      <c r="A3" s="61"/>
      <c r="B3" s="61"/>
      <c r="C3" s="62" t="s">
        <v>0</v>
      </c>
      <c r="D3" s="62"/>
      <c r="E3" s="62"/>
      <c r="F3" s="62"/>
      <c r="G3" s="62"/>
    </row>
    <row r="4" spans="1:7" s="2" customFormat="1" ht="18.75" x14ac:dyDescent="0.3">
      <c r="A4" s="61"/>
      <c r="B4" s="61"/>
      <c r="C4" s="63" t="s">
        <v>1</v>
      </c>
      <c r="D4" s="63"/>
      <c r="E4" s="63"/>
      <c r="F4" s="63"/>
      <c r="G4" s="63"/>
    </row>
    <row r="5" spans="1:7" s="1" customFormat="1" ht="19.5" x14ac:dyDescent="0.35">
      <c r="A5" s="61"/>
      <c r="B5" s="61"/>
      <c r="C5" s="64" t="s">
        <v>2</v>
      </c>
      <c r="D5" s="64"/>
      <c r="E5" s="64"/>
      <c r="F5" s="64"/>
      <c r="G5" s="64"/>
    </row>
    <row r="6" spans="1:7" s="1" customFormat="1" ht="18.75" x14ac:dyDescent="0.3">
      <c r="A6" s="61"/>
      <c r="B6" s="61"/>
      <c r="C6" s="62" t="s">
        <v>3</v>
      </c>
      <c r="D6" s="62"/>
      <c r="E6" s="62"/>
      <c r="F6" s="62"/>
      <c r="G6" s="62"/>
    </row>
    <row r="7" spans="1:7" ht="20.25" x14ac:dyDescent="0.3">
      <c r="A7" s="61"/>
      <c r="B7" s="61"/>
      <c r="C7" s="7"/>
      <c r="D7" s="7"/>
      <c r="E7" s="8"/>
      <c r="F7" s="8"/>
      <c r="G7" s="8"/>
    </row>
    <row r="8" spans="1:7" s="3" customFormat="1" ht="20.25" x14ac:dyDescent="0.3">
      <c r="A8" s="7"/>
      <c r="B8" s="11"/>
      <c r="C8" s="12" t="s">
        <v>17</v>
      </c>
      <c r="D8" s="7"/>
      <c r="E8" s="8"/>
      <c r="F8" s="8"/>
      <c r="G8" s="8"/>
    </row>
    <row r="9" spans="1:7" ht="20.25" x14ac:dyDescent="0.3">
      <c r="A9" s="16"/>
      <c r="B9" s="17"/>
      <c r="C9" s="36"/>
      <c r="D9" s="7"/>
      <c r="E9" s="8"/>
      <c r="F9" s="8"/>
      <c r="G9" s="8"/>
    </row>
    <row r="10" spans="1:7" ht="21" x14ac:dyDescent="0.35">
      <c r="A10" s="60" t="s">
        <v>4</v>
      </c>
      <c r="B10" s="60"/>
      <c r="C10" s="37" t="s">
        <v>18</v>
      </c>
      <c r="D10" s="7"/>
      <c r="E10" s="8"/>
      <c r="F10" s="8"/>
      <c r="G10" s="8"/>
    </row>
    <row r="11" spans="1:7" ht="21" x14ac:dyDescent="0.35">
      <c r="A11" s="60" t="s">
        <v>5</v>
      </c>
      <c r="B11" s="60"/>
      <c r="C11" s="13" t="s">
        <v>19</v>
      </c>
      <c r="D11" s="7"/>
      <c r="E11" s="8"/>
      <c r="F11" s="8"/>
      <c r="G11" s="8"/>
    </row>
    <row r="12" spans="1:7" ht="21.75" thickBot="1" x14ac:dyDescent="0.4">
      <c r="A12" s="3"/>
      <c r="B12" s="18" t="s">
        <v>6</v>
      </c>
      <c r="C12" s="14"/>
      <c r="D12" s="7"/>
      <c r="E12" s="8"/>
      <c r="F12" s="8"/>
      <c r="G12" s="8"/>
    </row>
    <row r="13" spans="1:7" ht="20.25" customHeight="1" x14ac:dyDescent="0.25">
      <c r="A13" s="65" t="s">
        <v>14</v>
      </c>
      <c r="B13" s="66"/>
      <c r="C13" s="66"/>
      <c r="D13" s="66"/>
      <c r="E13" s="66"/>
      <c r="F13" s="66"/>
      <c r="G13" s="67"/>
    </row>
    <row r="14" spans="1:7" ht="21" customHeight="1" thickBot="1" x14ac:dyDescent="0.3">
      <c r="A14" s="68"/>
      <c r="B14" s="69"/>
      <c r="C14" s="69"/>
      <c r="D14" s="69"/>
      <c r="E14" s="69"/>
      <c r="F14" s="69"/>
      <c r="G14" s="70"/>
    </row>
    <row r="15" spans="1:7" s="1" customFormat="1" ht="15.75" x14ac:dyDescent="0.25">
      <c r="A15" s="23"/>
      <c r="B15" s="22"/>
      <c r="C15" s="22" t="s">
        <v>7</v>
      </c>
      <c r="D15" s="22" t="s">
        <v>8</v>
      </c>
      <c r="E15" s="22" t="s">
        <v>9</v>
      </c>
      <c r="F15" s="22" t="s">
        <v>10</v>
      </c>
      <c r="G15" s="24" t="s">
        <v>11</v>
      </c>
    </row>
    <row r="16" spans="1:7" s="1" customFormat="1" ht="15.75" x14ac:dyDescent="0.25">
      <c r="A16" s="23"/>
      <c r="B16" s="22"/>
      <c r="C16" s="49" t="s">
        <v>117</v>
      </c>
      <c r="D16" s="22"/>
      <c r="E16" s="22"/>
      <c r="F16" s="22"/>
      <c r="G16" s="24"/>
    </row>
    <row r="17" spans="1:7" s="1" customFormat="1" ht="18.75" x14ac:dyDescent="0.3">
      <c r="A17" s="23"/>
      <c r="B17" s="22">
        <v>1</v>
      </c>
      <c r="C17" s="32" t="s">
        <v>20</v>
      </c>
      <c r="D17" s="33">
        <v>0.7</v>
      </c>
      <c r="E17" s="33">
        <v>3</v>
      </c>
      <c r="F17" s="22" t="s">
        <v>15</v>
      </c>
      <c r="G17" s="50">
        <v>5.89</v>
      </c>
    </row>
    <row r="18" spans="1:7" s="1" customFormat="1" ht="18.75" x14ac:dyDescent="0.3">
      <c r="A18" s="23"/>
      <c r="B18" s="22">
        <v>2</v>
      </c>
      <c r="C18" s="32" t="s">
        <v>21</v>
      </c>
      <c r="D18" s="33">
        <v>0.7</v>
      </c>
      <c r="E18" s="33">
        <v>1</v>
      </c>
      <c r="F18" s="22" t="s">
        <v>15</v>
      </c>
      <c r="G18" s="50">
        <v>0.39</v>
      </c>
    </row>
    <row r="19" spans="1:7" s="1" customFormat="1" ht="18.75" x14ac:dyDescent="0.3">
      <c r="A19" s="23"/>
      <c r="B19" s="22">
        <v>3</v>
      </c>
      <c r="C19" s="32" t="s">
        <v>22</v>
      </c>
      <c r="D19" s="29">
        <v>0.7</v>
      </c>
      <c r="E19" s="29">
        <v>3</v>
      </c>
      <c r="F19" s="22" t="s">
        <v>15</v>
      </c>
      <c r="G19" s="50">
        <v>4.71</v>
      </c>
    </row>
    <row r="20" spans="1:7" s="1" customFormat="1" ht="18.75" x14ac:dyDescent="0.3">
      <c r="A20" s="23"/>
      <c r="B20" s="22">
        <v>4</v>
      </c>
      <c r="C20" s="32" t="s">
        <v>23</v>
      </c>
      <c r="D20" s="33">
        <v>0.5</v>
      </c>
      <c r="E20" s="33">
        <v>1</v>
      </c>
      <c r="F20" s="22" t="s">
        <v>15</v>
      </c>
      <c r="G20" s="30">
        <v>0.94</v>
      </c>
    </row>
    <row r="21" spans="1:7" s="1" customFormat="1" ht="18.75" x14ac:dyDescent="0.3">
      <c r="A21" s="23"/>
      <c r="B21" s="22">
        <v>5</v>
      </c>
      <c r="C21" s="32" t="s">
        <v>27</v>
      </c>
      <c r="D21" s="29">
        <v>0.7</v>
      </c>
      <c r="E21" s="33">
        <v>1</v>
      </c>
      <c r="F21" s="22" t="s">
        <v>15</v>
      </c>
      <c r="G21" s="50">
        <v>0.99</v>
      </c>
    </row>
    <row r="22" spans="1:7" s="1" customFormat="1" ht="18.75" x14ac:dyDescent="0.3">
      <c r="A22" s="23"/>
      <c r="B22" s="22">
        <v>6</v>
      </c>
      <c r="C22" s="32" t="s">
        <v>28</v>
      </c>
      <c r="D22" s="29">
        <v>0.5</v>
      </c>
      <c r="E22" s="33">
        <v>2</v>
      </c>
      <c r="F22" s="22" t="s">
        <v>15</v>
      </c>
      <c r="G22" s="30">
        <v>2.2000000000000002</v>
      </c>
    </row>
    <row r="23" spans="1:7" s="1" customFormat="1" ht="18.75" x14ac:dyDescent="0.3">
      <c r="A23" s="23"/>
      <c r="B23" s="22">
        <v>7</v>
      </c>
      <c r="C23" s="32" t="s">
        <v>29</v>
      </c>
      <c r="D23" s="29">
        <v>0.5</v>
      </c>
      <c r="E23" s="33">
        <v>3</v>
      </c>
      <c r="F23" s="22" t="s">
        <v>15</v>
      </c>
      <c r="G23" s="30">
        <v>2.95</v>
      </c>
    </row>
    <row r="24" spans="1:7" s="1" customFormat="1" ht="18.75" x14ac:dyDescent="0.3">
      <c r="A24" s="23"/>
      <c r="B24" s="22">
        <v>8</v>
      </c>
      <c r="C24" s="32" t="s">
        <v>30</v>
      </c>
      <c r="D24" s="29">
        <v>0.5</v>
      </c>
      <c r="E24" s="33">
        <v>1</v>
      </c>
      <c r="F24" s="22" t="s">
        <v>15</v>
      </c>
      <c r="G24" s="30">
        <v>0.59</v>
      </c>
    </row>
    <row r="25" spans="1:7" s="1" customFormat="1" ht="18.75" x14ac:dyDescent="0.3">
      <c r="A25" s="23"/>
      <c r="B25" s="22">
        <v>9</v>
      </c>
      <c r="C25" s="32" t="s">
        <v>31</v>
      </c>
      <c r="D25" s="29">
        <v>0.5</v>
      </c>
      <c r="E25" s="33">
        <v>1</v>
      </c>
      <c r="F25" s="22" t="s">
        <v>15</v>
      </c>
      <c r="G25" s="30">
        <v>0.16</v>
      </c>
    </row>
    <row r="26" spans="1:7" s="1" customFormat="1" ht="18.75" x14ac:dyDescent="0.3">
      <c r="A26" s="31"/>
      <c r="B26" s="22">
        <v>10</v>
      </c>
      <c r="C26" s="35" t="s">
        <v>24</v>
      </c>
      <c r="D26" s="29">
        <v>0.5</v>
      </c>
      <c r="E26" s="33">
        <v>2</v>
      </c>
      <c r="F26" s="22" t="s">
        <v>15</v>
      </c>
      <c r="G26" s="34">
        <v>3.5</v>
      </c>
    </row>
    <row r="27" spans="1:7" s="1" customFormat="1" ht="18.75" x14ac:dyDescent="0.3">
      <c r="A27" s="31"/>
      <c r="B27" s="22">
        <v>11</v>
      </c>
      <c r="C27" s="35" t="s">
        <v>25</v>
      </c>
      <c r="D27" s="29">
        <v>0.5</v>
      </c>
      <c r="E27" s="33">
        <v>1</v>
      </c>
      <c r="F27" s="22" t="s">
        <v>15</v>
      </c>
      <c r="G27" s="34">
        <v>1.4</v>
      </c>
    </row>
    <row r="28" spans="1:7" s="1" customFormat="1" ht="18.75" x14ac:dyDescent="0.3">
      <c r="A28" s="31"/>
      <c r="B28" s="22">
        <v>12</v>
      </c>
      <c r="C28" s="35" t="s">
        <v>26</v>
      </c>
      <c r="D28" s="33">
        <v>0.5</v>
      </c>
      <c r="E28" s="33">
        <v>1</v>
      </c>
      <c r="F28" s="22" t="s">
        <v>15</v>
      </c>
      <c r="G28" s="34">
        <v>0.84</v>
      </c>
    </row>
    <row r="29" spans="1:7" s="1" customFormat="1" ht="18.75" x14ac:dyDescent="0.3">
      <c r="A29" s="31"/>
      <c r="B29" s="22">
        <v>13</v>
      </c>
      <c r="C29" s="35" t="s">
        <v>33</v>
      </c>
      <c r="D29" s="33">
        <v>0.7</v>
      </c>
      <c r="E29" s="33">
        <v>6</v>
      </c>
      <c r="F29" s="22" t="s">
        <v>15</v>
      </c>
      <c r="G29" s="51">
        <v>7.4</v>
      </c>
    </row>
    <row r="30" spans="1:7" s="1" customFormat="1" ht="18.75" x14ac:dyDescent="0.3">
      <c r="A30" s="31"/>
      <c r="B30" s="22">
        <v>14</v>
      </c>
      <c r="C30" s="32" t="s">
        <v>35</v>
      </c>
      <c r="D30" s="33">
        <v>0.7</v>
      </c>
      <c r="E30" s="33">
        <v>2</v>
      </c>
      <c r="F30" s="22" t="s">
        <v>15</v>
      </c>
      <c r="G30" s="51">
        <v>0.82199999999999995</v>
      </c>
    </row>
    <row r="31" spans="1:7" s="1" customFormat="1" ht="18.75" x14ac:dyDescent="0.3">
      <c r="A31" s="31"/>
      <c r="B31" s="22">
        <v>15</v>
      </c>
      <c r="C31" s="32" t="s">
        <v>32</v>
      </c>
      <c r="D31" s="33">
        <v>0.7</v>
      </c>
      <c r="E31" s="33">
        <v>4</v>
      </c>
      <c r="F31" s="22" t="s">
        <v>15</v>
      </c>
      <c r="G31" s="51">
        <v>3.1579999999999999</v>
      </c>
    </row>
    <row r="32" spans="1:7" s="1" customFormat="1" ht="18.75" x14ac:dyDescent="0.3">
      <c r="A32" s="31"/>
      <c r="B32" s="22">
        <v>16</v>
      </c>
      <c r="C32" s="32" t="s">
        <v>34</v>
      </c>
      <c r="D32" s="33">
        <v>0.7</v>
      </c>
      <c r="E32" s="33">
        <v>4</v>
      </c>
      <c r="F32" s="22" t="s">
        <v>15</v>
      </c>
      <c r="G32" s="51">
        <v>1.0529999999999999</v>
      </c>
    </row>
    <row r="33" spans="1:7" s="1" customFormat="1" ht="18.75" x14ac:dyDescent="0.3">
      <c r="A33" s="38"/>
      <c r="B33" s="22">
        <v>17</v>
      </c>
      <c r="C33" s="32" t="s">
        <v>36</v>
      </c>
      <c r="D33" s="40">
        <v>0.5</v>
      </c>
      <c r="E33" s="40">
        <v>1</v>
      </c>
      <c r="F33" s="22" t="s">
        <v>15</v>
      </c>
      <c r="G33" s="41">
        <v>0.49</v>
      </c>
    </row>
    <row r="34" spans="1:7" s="1" customFormat="1" ht="18.75" x14ac:dyDescent="0.3">
      <c r="A34" s="38"/>
      <c r="B34" s="22">
        <v>18</v>
      </c>
      <c r="C34" s="32" t="s">
        <v>37</v>
      </c>
      <c r="D34" s="40">
        <v>0.5</v>
      </c>
      <c r="E34" s="40">
        <v>3</v>
      </c>
      <c r="F34" s="22" t="s">
        <v>15</v>
      </c>
      <c r="G34" s="41">
        <v>0.77400000000000002</v>
      </c>
    </row>
    <row r="35" spans="1:7" s="1" customFormat="1" ht="18.75" x14ac:dyDescent="0.3">
      <c r="A35" s="38"/>
      <c r="B35" s="22">
        <v>19</v>
      </c>
      <c r="C35" s="32" t="s">
        <v>38</v>
      </c>
      <c r="D35" s="40">
        <v>0.5</v>
      </c>
      <c r="E35" s="40">
        <v>4</v>
      </c>
      <c r="F35" s="22" t="s">
        <v>15</v>
      </c>
      <c r="G35" s="41">
        <v>1.234</v>
      </c>
    </row>
    <row r="36" spans="1:7" s="1" customFormat="1" ht="18.75" x14ac:dyDescent="0.3">
      <c r="A36" s="38"/>
      <c r="B36" s="22">
        <v>20</v>
      </c>
      <c r="C36" s="32" t="s">
        <v>39</v>
      </c>
      <c r="D36" s="40">
        <v>0.5</v>
      </c>
      <c r="E36" s="40">
        <v>1</v>
      </c>
      <c r="F36" s="22" t="s">
        <v>15</v>
      </c>
      <c r="G36" s="41">
        <v>0.19700000000000001</v>
      </c>
    </row>
    <row r="37" spans="1:7" s="1" customFormat="1" ht="18.75" x14ac:dyDescent="0.3">
      <c r="A37" s="38"/>
      <c r="B37" s="22">
        <v>21</v>
      </c>
      <c r="C37" s="39" t="s">
        <v>40</v>
      </c>
      <c r="D37" s="40">
        <v>0.5</v>
      </c>
      <c r="E37" s="40">
        <v>1</v>
      </c>
      <c r="F37" s="22" t="s">
        <v>15</v>
      </c>
      <c r="G37" s="41">
        <v>0.63600000000000001</v>
      </c>
    </row>
    <row r="38" spans="1:7" s="1" customFormat="1" ht="18.75" x14ac:dyDescent="0.3">
      <c r="A38" s="38"/>
      <c r="B38" s="22">
        <v>22</v>
      </c>
      <c r="C38" s="39" t="s">
        <v>41</v>
      </c>
      <c r="D38" s="40">
        <v>0.5</v>
      </c>
      <c r="E38" s="40">
        <v>1</v>
      </c>
      <c r="F38" s="22" t="s">
        <v>15</v>
      </c>
      <c r="G38" s="41">
        <v>0.52600000000000002</v>
      </c>
    </row>
    <row r="39" spans="1:7" s="1" customFormat="1" ht="18.75" x14ac:dyDescent="0.3">
      <c r="A39" s="38"/>
      <c r="B39" s="22">
        <v>23</v>
      </c>
      <c r="C39" s="39" t="s">
        <v>42</v>
      </c>
      <c r="D39" s="40">
        <v>0.5</v>
      </c>
      <c r="E39" s="40">
        <v>2</v>
      </c>
      <c r="F39" s="22" t="s">
        <v>15</v>
      </c>
      <c r="G39" s="41">
        <v>0.72</v>
      </c>
    </row>
    <row r="40" spans="1:7" s="1" customFormat="1" ht="18.75" x14ac:dyDescent="0.3">
      <c r="A40" s="38"/>
      <c r="B40" s="22">
        <v>24</v>
      </c>
      <c r="C40" s="39" t="s">
        <v>43</v>
      </c>
      <c r="D40" s="40">
        <v>0.5</v>
      </c>
      <c r="E40" s="40">
        <v>1</v>
      </c>
      <c r="F40" s="22" t="s">
        <v>15</v>
      </c>
      <c r="G40" s="41">
        <v>0.47399999999999998</v>
      </c>
    </row>
    <row r="41" spans="1:7" s="1" customFormat="1" ht="18.75" x14ac:dyDescent="0.3">
      <c r="A41" s="38"/>
      <c r="B41" s="22">
        <v>25</v>
      </c>
      <c r="C41" s="39" t="s">
        <v>44</v>
      </c>
      <c r="D41" s="40">
        <v>0.5</v>
      </c>
      <c r="E41" s="40">
        <v>1</v>
      </c>
      <c r="F41" s="22" t="s">
        <v>15</v>
      </c>
      <c r="G41" s="41">
        <v>0.28100000000000003</v>
      </c>
    </row>
    <row r="42" spans="1:7" s="1" customFormat="1" ht="18.75" x14ac:dyDescent="0.3">
      <c r="A42" s="38"/>
      <c r="B42" s="22">
        <v>26</v>
      </c>
      <c r="C42" s="39" t="s">
        <v>45</v>
      </c>
      <c r="D42" s="40">
        <v>0.5</v>
      </c>
      <c r="E42" s="40">
        <v>2</v>
      </c>
      <c r="F42" s="22" t="s">
        <v>15</v>
      </c>
      <c r="G42" s="41">
        <v>0.41799999999999998</v>
      </c>
    </row>
    <row r="43" spans="1:7" s="1" customFormat="1" ht="18.75" x14ac:dyDescent="0.3">
      <c r="A43" s="38"/>
      <c r="B43" s="22">
        <v>27</v>
      </c>
      <c r="C43" s="39" t="s">
        <v>46</v>
      </c>
      <c r="D43" s="40">
        <v>0.5</v>
      </c>
      <c r="E43" s="40">
        <v>1</v>
      </c>
      <c r="F43" s="22" t="s">
        <v>15</v>
      </c>
      <c r="G43" s="41">
        <v>0.43099999999999999</v>
      </c>
    </row>
    <row r="44" spans="1:7" s="1" customFormat="1" ht="18.75" x14ac:dyDescent="0.3">
      <c r="A44" s="38"/>
      <c r="B44" s="22">
        <v>28</v>
      </c>
      <c r="C44" s="39" t="s">
        <v>47</v>
      </c>
      <c r="D44" s="40">
        <v>0.5</v>
      </c>
      <c r="E44" s="40">
        <v>1</v>
      </c>
      <c r="F44" s="22" t="s">
        <v>15</v>
      </c>
      <c r="G44" s="41">
        <v>0.4</v>
      </c>
    </row>
    <row r="45" spans="1:7" s="1" customFormat="1" ht="18.75" x14ac:dyDescent="0.3">
      <c r="A45" s="38"/>
      <c r="B45" s="22">
        <v>29</v>
      </c>
      <c r="C45" s="39" t="s">
        <v>48</v>
      </c>
      <c r="D45" s="40">
        <v>0.5</v>
      </c>
      <c r="E45" s="40">
        <v>1</v>
      </c>
      <c r="F45" s="22" t="s">
        <v>15</v>
      </c>
      <c r="G45" s="41">
        <v>0.27800000000000002</v>
      </c>
    </row>
    <row r="46" spans="1:7" s="1" customFormat="1" ht="18.75" x14ac:dyDescent="0.3">
      <c r="A46" s="38"/>
      <c r="B46" s="22">
        <v>30</v>
      </c>
      <c r="C46" s="39" t="s">
        <v>49</v>
      </c>
      <c r="D46" s="40">
        <v>0.5</v>
      </c>
      <c r="E46" s="40">
        <v>1</v>
      </c>
      <c r="F46" s="22" t="s">
        <v>15</v>
      </c>
      <c r="G46" s="41">
        <v>0.08</v>
      </c>
    </row>
    <row r="47" spans="1:7" s="1" customFormat="1" ht="18.75" x14ac:dyDescent="0.3">
      <c r="A47" s="38"/>
      <c r="B47" s="22"/>
      <c r="C47" s="42" t="s">
        <v>50</v>
      </c>
      <c r="D47" s="40"/>
      <c r="E47" s="40"/>
      <c r="F47" s="22"/>
      <c r="G47" s="54">
        <f>SUM(G33:G46)</f>
        <v>6.9390000000000001</v>
      </c>
    </row>
    <row r="48" spans="1:7" s="1" customFormat="1" ht="18.75" x14ac:dyDescent="0.3">
      <c r="A48" s="38"/>
      <c r="B48" s="22">
        <v>31</v>
      </c>
      <c r="C48" s="43" t="s">
        <v>52</v>
      </c>
      <c r="D48" s="40">
        <v>0.5</v>
      </c>
      <c r="E48" s="40">
        <v>10</v>
      </c>
      <c r="F48" s="22" t="s">
        <v>15</v>
      </c>
      <c r="G48" s="53">
        <v>7.85</v>
      </c>
    </row>
    <row r="49" spans="1:7" s="1" customFormat="1" ht="18.75" x14ac:dyDescent="0.3">
      <c r="A49" s="38"/>
      <c r="B49" s="22">
        <v>32</v>
      </c>
      <c r="C49" s="43" t="s">
        <v>53</v>
      </c>
      <c r="D49" s="40">
        <v>0.5</v>
      </c>
      <c r="E49" s="40">
        <v>1</v>
      </c>
      <c r="F49" s="22" t="s">
        <v>15</v>
      </c>
      <c r="G49" s="41">
        <v>0.31</v>
      </c>
    </row>
    <row r="50" spans="1:7" s="1" customFormat="1" ht="18.75" x14ac:dyDescent="0.3">
      <c r="A50" s="38"/>
      <c r="B50" s="22">
        <v>33</v>
      </c>
      <c r="C50" s="43" t="s">
        <v>54</v>
      </c>
      <c r="D50" s="40">
        <v>0.5</v>
      </c>
      <c r="E50" s="40">
        <v>7</v>
      </c>
      <c r="F50" s="22" t="s">
        <v>15</v>
      </c>
      <c r="G50" s="41">
        <v>4.4000000000000004</v>
      </c>
    </row>
    <row r="51" spans="1:7" s="1" customFormat="1" ht="18.75" x14ac:dyDescent="0.3">
      <c r="A51" s="38"/>
      <c r="B51" s="22">
        <v>34</v>
      </c>
      <c r="C51" s="43" t="s">
        <v>55</v>
      </c>
      <c r="D51" s="40">
        <v>0.5</v>
      </c>
      <c r="E51" s="40">
        <v>1</v>
      </c>
      <c r="F51" s="22" t="s">
        <v>15</v>
      </c>
      <c r="G51" s="41">
        <v>0.13</v>
      </c>
    </row>
    <row r="52" spans="1:7" s="1" customFormat="1" ht="18.75" x14ac:dyDescent="0.3">
      <c r="A52" s="38"/>
      <c r="B52" s="22">
        <v>35</v>
      </c>
      <c r="C52" s="43" t="s">
        <v>56</v>
      </c>
      <c r="D52" s="40">
        <v>0.5</v>
      </c>
      <c r="E52" s="40">
        <v>2</v>
      </c>
      <c r="F52" s="22" t="s">
        <v>15</v>
      </c>
      <c r="G52" s="41">
        <v>0.98</v>
      </c>
    </row>
    <row r="53" spans="1:7" s="1" customFormat="1" ht="18.75" x14ac:dyDescent="0.3">
      <c r="A53" s="38"/>
      <c r="B53" s="22">
        <v>36</v>
      </c>
      <c r="C53" s="43" t="s">
        <v>57</v>
      </c>
      <c r="D53" s="40">
        <v>0.5</v>
      </c>
      <c r="E53" s="40">
        <v>2</v>
      </c>
      <c r="F53" s="22" t="s">
        <v>15</v>
      </c>
      <c r="G53" s="41">
        <v>0.79</v>
      </c>
    </row>
    <row r="54" spans="1:7" s="1" customFormat="1" ht="18.75" x14ac:dyDescent="0.3">
      <c r="A54" s="38"/>
      <c r="B54" s="22">
        <v>37</v>
      </c>
      <c r="C54" s="43" t="s">
        <v>58</v>
      </c>
      <c r="D54" s="40">
        <v>0.5</v>
      </c>
      <c r="E54" s="40">
        <v>1</v>
      </c>
      <c r="F54" s="22" t="s">
        <v>15</v>
      </c>
      <c r="G54" s="41">
        <v>0.06</v>
      </c>
    </row>
    <row r="55" spans="1:7" s="1" customFormat="1" ht="18.75" x14ac:dyDescent="0.3">
      <c r="A55" s="38"/>
      <c r="B55" s="22">
        <v>38</v>
      </c>
      <c r="C55" s="43" t="s">
        <v>59</v>
      </c>
      <c r="D55" s="40">
        <v>0.5</v>
      </c>
      <c r="E55" s="40">
        <v>6</v>
      </c>
      <c r="F55" s="22" t="s">
        <v>15</v>
      </c>
      <c r="G55" s="41">
        <v>1.1839999999999999</v>
      </c>
    </row>
    <row r="56" spans="1:7" s="1" customFormat="1" ht="18.75" x14ac:dyDescent="0.3">
      <c r="A56" s="38"/>
      <c r="B56" s="22">
        <v>39</v>
      </c>
      <c r="C56" s="43" t="s">
        <v>60</v>
      </c>
      <c r="D56" s="40">
        <v>0.5</v>
      </c>
      <c r="E56" s="40">
        <v>2</v>
      </c>
      <c r="F56" s="22" t="s">
        <v>15</v>
      </c>
      <c r="G56" s="41">
        <v>0.13200000000000001</v>
      </c>
    </row>
    <row r="57" spans="1:7" s="1" customFormat="1" ht="18.75" x14ac:dyDescent="0.3">
      <c r="A57" s="38"/>
      <c r="B57" s="22">
        <v>40</v>
      </c>
      <c r="C57" s="43" t="s">
        <v>61</v>
      </c>
      <c r="D57" s="40">
        <v>0.5</v>
      </c>
      <c r="E57" s="40">
        <v>1</v>
      </c>
      <c r="F57" s="22" t="s">
        <v>15</v>
      </c>
      <c r="G57" s="41">
        <v>0.126</v>
      </c>
    </row>
    <row r="58" spans="1:7" s="1" customFormat="1" ht="18.75" x14ac:dyDescent="0.3">
      <c r="A58" s="38"/>
      <c r="B58" s="22">
        <v>41</v>
      </c>
      <c r="C58" s="43" t="s">
        <v>62</v>
      </c>
      <c r="D58" s="40">
        <v>0.5</v>
      </c>
      <c r="E58" s="40">
        <v>4</v>
      </c>
      <c r="F58" s="22" t="s">
        <v>15</v>
      </c>
      <c r="G58" s="41">
        <v>0.253</v>
      </c>
    </row>
    <row r="59" spans="1:7" s="1" customFormat="1" ht="18.75" x14ac:dyDescent="0.3">
      <c r="A59" s="38"/>
      <c r="B59" s="22">
        <v>42</v>
      </c>
      <c r="C59" s="43" t="s">
        <v>63</v>
      </c>
      <c r="D59" s="40">
        <v>0.5</v>
      </c>
      <c r="E59" s="40">
        <v>9</v>
      </c>
      <c r="F59" s="22" t="s">
        <v>15</v>
      </c>
      <c r="G59" s="41">
        <v>0.44400000000000001</v>
      </c>
    </row>
    <row r="60" spans="1:7" s="1" customFormat="1" ht="18.75" x14ac:dyDescent="0.3">
      <c r="A60" s="38"/>
      <c r="B60" s="22">
        <v>43</v>
      </c>
      <c r="C60" s="43" t="s">
        <v>112</v>
      </c>
      <c r="D60" s="40">
        <v>0.5</v>
      </c>
      <c r="E60" s="40">
        <v>1</v>
      </c>
      <c r="F60" s="22" t="s">
        <v>15</v>
      </c>
      <c r="G60" s="41">
        <v>0.2</v>
      </c>
    </row>
    <row r="61" spans="1:7" s="1" customFormat="1" ht="18.75" x14ac:dyDescent="0.3">
      <c r="A61" s="38"/>
      <c r="B61" s="22">
        <v>44</v>
      </c>
      <c r="C61" s="43" t="s">
        <v>66</v>
      </c>
      <c r="D61" s="40">
        <v>0.5</v>
      </c>
      <c r="E61" s="40">
        <v>4</v>
      </c>
      <c r="F61" s="22" t="s">
        <v>15</v>
      </c>
      <c r="G61" s="41">
        <v>0.60499999999999998</v>
      </c>
    </row>
    <row r="62" spans="1:7" s="1" customFormat="1" ht="18.75" x14ac:dyDescent="0.3">
      <c r="A62" s="38"/>
      <c r="B62" s="22">
        <v>45</v>
      </c>
      <c r="C62" s="43" t="s">
        <v>113</v>
      </c>
      <c r="D62" s="40">
        <v>0.5</v>
      </c>
      <c r="E62" s="40">
        <v>2</v>
      </c>
      <c r="F62" s="22" t="s">
        <v>15</v>
      </c>
      <c r="G62" s="41">
        <v>0.249</v>
      </c>
    </row>
    <row r="63" spans="1:7" s="1" customFormat="1" ht="18.75" x14ac:dyDescent="0.3">
      <c r="A63" s="38"/>
      <c r="B63" s="22">
        <v>46</v>
      </c>
      <c r="C63" s="43" t="s">
        <v>114</v>
      </c>
      <c r="D63" s="40">
        <v>0.5</v>
      </c>
      <c r="E63" s="40">
        <v>1</v>
      </c>
      <c r="F63" s="22" t="s">
        <v>15</v>
      </c>
      <c r="G63" s="53">
        <v>0.2</v>
      </c>
    </row>
    <row r="64" spans="1:7" s="1" customFormat="1" ht="18.75" x14ac:dyDescent="0.3">
      <c r="A64" s="38"/>
      <c r="B64" s="22">
        <v>47</v>
      </c>
      <c r="C64" s="43" t="s">
        <v>67</v>
      </c>
      <c r="D64" s="40">
        <v>0.5</v>
      </c>
      <c r="E64" s="40">
        <v>2</v>
      </c>
      <c r="F64" s="22" t="s">
        <v>15</v>
      </c>
      <c r="G64" s="41">
        <v>0.22500000000000001</v>
      </c>
    </row>
    <row r="65" spans="1:7" s="1" customFormat="1" ht="18.75" x14ac:dyDescent="0.3">
      <c r="A65" s="38"/>
      <c r="B65" s="22">
        <v>48</v>
      </c>
      <c r="C65" s="43" t="s">
        <v>85</v>
      </c>
      <c r="D65" s="40">
        <v>0.5</v>
      </c>
      <c r="E65" s="40">
        <v>2</v>
      </c>
      <c r="F65" s="22" t="s">
        <v>15</v>
      </c>
      <c r="G65" s="41">
        <v>0.17699999999999999</v>
      </c>
    </row>
    <row r="66" spans="1:7" s="1" customFormat="1" ht="18.75" x14ac:dyDescent="0.3">
      <c r="A66" s="38"/>
      <c r="B66" s="22"/>
      <c r="C66" s="42" t="s">
        <v>51</v>
      </c>
      <c r="D66" s="40"/>
      <c r="E66" s="40"/>
      <c r="F66" s="22"/>
      <c r="G66" s="54">
        <f>SUM(G48:G65)</f>
        <v>18.314999999999998</v>
      </c>
    </row>
    <row r="67" spans="1:7" s="1" customFormat="1" ht="18.75" x14ac:dyDescent="0.3">
      <c r="A67" s="38"/>
      <c r="B67" s="22">
        <v>49</v>
      </c>
      <c r="C67" s="43" t="s">
        <v>57</v>
      </c>
      <c r="D67" s="40">
        <v>0.5</v>
      </c>
      <c r="E67" s="40">
        <v>4</v>
      </c>
      <c r="F67" s="22" t="s">
        <v>15</v>
      </c>
      <c r="G67" s="41">
        <v>1.57</v>
      </c>
    </row>
    <row r="68" spans="1:7" s="1" customFormat="1" ht="18.75" x14ac:dyDescent="0.3">
      <c r="A68" s="38"/>
      <c r="B68" s="22">
        <v>50</v>
      </c>
      <c r="C68" s="43" t="s">
        <v>86</v>
      </c>
      <c r="D68" s="40">
        <v>0.5</v>
      </c>
      <c r="E68" s="40">
        <v>1</v>
      </c>
      <c r="F68" s="22" t="s">
        <v>15</v>
      </c>
      <c r="G68" s="41">
        <v>0.31</v>
      </c>
    </row>
    <row r="69" spans="1:7" s="1" customFormat="1" ht="18.75" x14ac:dyDescent="0.3">
      <c r="A69" s="38"/>
      <c r="B69" s="22">
        <v>51</v>
      </c>
      <c r="C69" s="43" t="s">
        <v>85</v>
      </c>
      <c r="D69" s="40">
        <v>0.5</v>
      </c>
      <c r="E69" s="40">
        <v>2</v>
      </c>
      <c r="F69" s="22" t="s">
        <v>15</v>
      </c>
      <c r="G69" s="41">
        <v>0.17699999999999999</v>
      </c>
    </row>
    <row r="70" spans="1:7" s="1" customFormat="1" ht="18.75" x14ac:dyDescent="0.3">
      <c r="A70" s="38"/>
      <c r="B70" s="22">
        <v>52</v>
      </c>
      <c r="C70" s="43" t="s">
        <v>63</v>
      </c>
      <c r="D70" s="40">
        <v>0.5</v>
      </c>
      <c r="E70" s="40">
        <v>3</v>
      </c>
      <c r="F70" s="22" t="s">
        <v>15</v>
      </c>
      <c r="G70" s="41">
        <v>0.14799999999999999</v>
      </c>
    </row>
    <row r="71" spans="1:7" s="1" customFormat="1" ht="18.75" x14ac:dyDescent="0.3">
      <c r="A71" s="38"/>
      <c r="B71" s="22">
        <v>53</v>
      </c>
      <c r="C71" s="43" t="s">
        <v>64</v>
      </c>
      <c r="D71" s="40">
        <v>0.5</v>
      </c>
      <c r="E71" s="40">
        <v>2</v>
      </c>
      <c r="F71" s="22" t="s">
        <v>15</v>
      </c>
      <c r="G71" s="41">
        <v>4.9000000000000002E-2</v>
      </c>
    </row>
    <row r="72" spans="1:7" s="1" customFormat="1" ht="18.75" x14ac:dyDescent="0.3">
      <c r="A72" s="38"/>
      <c r="B72" s="22">
        <v>54</v>
      </c>
      <c r="C72" s="43" t="s">
        <v>65</v>
      </c>
      <c r="D72" s="40">
        <v>0.5</v>
      </c>
      <c r="E72" s="40">
        <v>1</v>
      </c>
      <c r="F72" s="22" t="s">
        <v>15</v>
      </c>
      <c r="G72" s="41">
        <v>0.2</v>
      </c>
    </row>
    <row r="73" spans="1:7" s="1" customFormat="1" ht="18.75" x14ac:dyDescent="0.3">
      <c r="A73" s="38"/>
      <c r="B73" s="22"/>
      <c r="C73" s="45" t="s">
        <v>87</v>
      </c>
      <c r="D73" s="40"/>
      <c r="E73" s="40"/>
      <c r="F73" s="22"/>
      <c r="G73" s="54">
        <f>SUM(G67:G72)</f>
        <v>2.4540000000000002</v>
      </c>
    </row>
    <row r="74" spans="1:7" s="1" customFormat="1" ht="18.75" x14ac:dyDescent="0.3">
      <c r="A74" s="38"/>
      <c r="B74" s="22">
        <v>55</v>
      </c>
      <c r="C74" s="43" t="s">
        <v>88</v>
      </c>
      <c r="D74" s="40">
        <v>0.7</v>
      </c>
      <c r="E74" s="46">
        <v>6</v>
      </c>
      <c r="F74" s="22" t="s">
        <v>15</v>
      </c>
      <c r="G74" s="41">
        <v>22.5</v>
      </c>
    </row>
    <row r="75" spans="1:7" s="1" customFormat="1" ht="18.75" x14ac:dyDescent="0.3">
      <c r="A75" s="38"/>
      <c r="B75" s="22">
        <v>56</v>
      </c>
      <c r="C75" s="43" t="s">
        <v>89</v>
      </c>
      <c r="D75" s="40">
        <v>0.7</v>
      </c>
      <c r="E75" s="46">
        <v>3</v>
      </c>
      <c r="F75" s="22" t="s">
        <v>15</v>
      </c>
      <c r="G75" s="41">
        <v>9</v>
      </c>
    </row>
    <row r="76" spans="1:7" s="1" customFormat="1" ht="18.75" x14ac:dyDescent="0.3">
      <c r="A76" s="38"/>
      <c r="B76" s="22">
        <v>57</v>
      </c>
      <c r="C76" s="43" t="s">
        <v>90</v>
      </c>
      <c r="D76" s="40">
        <v>0.7</v>
      </c>
      <c r="E76" s="46">
        <v>1</v>
      </c>
      <c r="F76" s="22" t="s">
        <v>15</v>
      </c>
      <c r="G76" s="41">
        <v>1.8</v>
      </c>
    </row>
    <row r="77" spans="1:7" s="1" customFormat="1" ht="18.75" x14ac:dyDescent="0.3">
      <c r="A77" s="38"/>
      <c r="B77" s="22">
        <v>58</v>
      </c>
      <c r="C77" s="43" t="s">
        <v>91</v>
      </c>
      <c r="D77" s="40">
        <v>0.7</v>
      </c>
      <c r="E77" s="46">
        <v>14</v>
      </c>
      <c r="F77" s="22" t="s">
        <v>15</v>
      </c>
      <c r="G77" s="41">
        <v>49</v>
      </c>
    </row>
    <row r="78" spans="1:7" s="1" customFormat="1" ht="18.75" x14ac:dyDescent="0.3">
      <c r="A78" s="38"/>
      <c r="B78" s="22">
        <v>59</v>
      </c>
      <c r="C78" s="43" t="s">
        <v>92</v>
      </c>
      <c r="D78" s="40">
        <v>0.7</v>
      </c>
      <c r="E78" s="46">
        <v>2</v>
      </c>
      <c r="F78" s="22" t="s">
        <v>15</v>
      </c>
      <c r="G78" s="41">
        <v>5.04</v>
      </c>
    </row>
    <row r="79" spans="1:7" s="1" customFormat="1" ht="18.75" x14ac:dyDescent="0.3">
      <c r="A79" s="38"/>
      <c r="B79" s="22">
        <v>60</v>
      </c>
      <c r="C79" s="43" t="s">
        <v>69</v>
      </c>
      <c r="D79" s="40">
        <v>0.7</v>
      </c>
      <c r="E79" s="46">
        <v>2</v>
      </c>
      <c r="F79" s="22" t="s">
        <v>15</v>
      </c>
      <c r="G79" s="41">
        <v>3.863</v>
      </c>
    </row>
    <row r="80" spans="1:7" s="1" customFormat="1" ht="18.75" x14ac:dyDescent="0.3">
      <c r="A80" s="38"/>
      <c r="B80" s="22">
        <v>61</v>
      </c>
      <c r="C80" s="43" t="s">
        <v>110</v>
      </c>
      <c r="D80" s="40">
        <v>0.7</v>
      </c>
      <c r="E80" s="46">
        <v>2</v>
      </c>
      <c r="F80" s="22" t="s">
        <v>15</v>
      </c>
      <c r="G80" s="41">
        <v>5.5519999999999996</v>
      </c>
    </row>
    <row r="81" spans="1:7" s="1" customFormat="1" ht="18.75" x14ac:dyDescent="0.3">
      <c r="A81" s="38"/>
      <c r="B81" s="22">
        <v>62</v>
      </c>
      <c r="C81" s="43" t="s">
        <v>68</v>
      </c>
      <c r="D81" s="40">
        <v>0.7</v>
      </c>
      <c r="E81" s="46">
        <v>1</v>
      </c>
      <c r="F81" s="22" t="s">
        <v>15</v>
      </c>
      <c r="G81" s="41">
        <v>1.5980000000000001</v>
      </c>
    </row>
    <row r="82" spans="1:7" s="1" customFormat="1" ht="18.75" x14ac:dyDescent="0.3">
      <c r="A82" s="38"/>
      <c r="B82" s="22">
        <v>63</v>
      </c>
      <c r="C82" s="43" t="s">
        <v>111</v>
      </c>
      <c r="D82" s="40">
        <v>0.7</v>
      </c>
      <c r="E82" s="46">
        <v>2</v>
      </c>
      <c r="F82" s="22" t="s">
        <v>15</v>
      </c>
      <c r="G82" s="41">
        <v>0.99299999999999999</v>
      </c>
    </row>
    <row r="83" spans="1:7" s="1" customFormat="1" ht="18.75" x14ac:dyDescent="0.3">
      <c r="A83" s="38"/>
      <c r="B83" s="22">
        <v>64</v>
      </c>
      <c r="C83" s="43" t="s">
        <v>93</v>
      </c>
      <c r="D83" s="40">
        <v>0.7</v>
      </c>
      <c r="E83" s="46">
        <v>1</v>
      </c>
      <c r="F83" s="22" t="s">
        <v>15</v>
      </c>
      <c r="G83" s="41">
        <v>1.7829999999999999</v>
      </c>
    </row>
    <row r="84" spans="1:7" s="1" customFormat="1" ht="18.75" x14ac:dyDescent="0.3">
      <c r="A84" s="38"/>
      <c r="B84" s="22">
        <v>65</v>
      </c>
      <c r="C84" s="43" t="s">
        <v>71</v>
      </c>
      <c r="D84" s="40">
        <v>0.7</v>
      </c>
      <c r="E84" s="46">
        <v>1</v>
      </c>
      <c r="F84" s="22" t="s">
        <v>15</v>
      </c>
      <c r="G84" s="41">
        <v>1.7</v>
      </c>
    </row>
    <row r="85" spans="1:7" s="1" customFormat="1" ht="18.75" x14ac:dyDescent="0.3">
      <c r="A85" s="38"/>
      <c r="B85" s="22"/>
      <c r="C85" s="45" t="s">
        <v>94</v>
      </c>
      <c r="D85" s="40"/>
      <c r="E85" s="40"/>
      <c r="F85" s="22"/>
      <c r="G85" s="55">
        <f>SUM(G74:G84)</f>
        <v>102.82899999999999</v>
      </c>
    </row>
    <row r="86" spans="1:7" s="1" customFormat="1" ht="18.75" x14ac:dyDescent="0.3">
      <c r="A86" s="38"/>
      <c r="B86" s="22">
        <v>66</v>
      </c>
      <c r="C86" s="43" t="s">
        <v>95</v>
      </c>
      <c r="D86" s="40">
        <v>0.7</v>
      </c>
      <c r="E86" s="46">
        <v>21</v>
      </c>
      <c r="F86" s="22" t="s">
        <v>15</v>
      </c>
      <c r="G86" s="41">
        <v>57.75</v>
      </c>
    </row>
    <row r="87" spans="1:7" s="1" customFormat="1" ht="18.75" x14ac:dyDescent="0.3">
      <c r="A87" s="38"/>
      <c r="B87" s="22">
        <v>67</v>
      </c>
      <c r="C87" s="43" t="s">
        <v>96</v>
      </c>
      <c r="D87" s="40">
        <v>0.7</v>
      </c>
      <c r="E87" s="46">
        <v>2</v>
      </c>
      <c r="F87" s="22" t="s">
        <v>15</v>
      </c>
      <c r="G87" s="41">
        <v>4.4000000000000004</v>
      </c>
    </row>
    <row r="88" spans="1:7" s="1" customFormat="1" ht="18.75" x14ac:dyDescent="0.3">
      <c r="A88" s="38"/>
      <c r="B88" s="22">
        <v>68</v>
      </c>
      <c r="C88" s="43" t="s">
        <v>97</v>
      </c>
      <c r="D88" s="40">
        <v>0.7</v>
      </c>
      <c r="E88" s="46">
        <v>2</v>
      </c>
      <c r="F88" s="22" t="s">
        <v>15</v>
      </c>
      <c r="G88" s="41">
        <v>3.96</v>
      </c>
    </row>
    <row r="89" spans="1:7" s="1" customFormat="1" ht="18.75" x14ac:dyDescent="0.3">
      <c r="A89" s="38"/>
      <c r="B89" s="22">
        <v>69</v>
      </c>
      <c r="C89" s="43" t="s">
        <v>98</v>
      </c>
      <c r="D89" s="40">
        <v>0.7</v>
      </c>
      <c r="E89" s="46">
        <v>1</v>
      </c>
      <c r="F89" s="22" t="s">
        <v>15</v>
      </c>
      <c r="G89" s="41">
        <v>1.1000000000000001</v>
      </c>
    </row>
    <row r="90" spans="1:7" s="1" customFormat="1" ht="18.75" x14ac:dyDescent="0.3">
      <c r="A90" s="38"/>
      <c r="B90" s="22">
        <v>70</v>
      </c>
      <c r="C90" s="43" t="s">
        <v>99</v>
      </c>
      <c r="D90" s="40">
        <v>0.7</v>
      </c>
      <c r="E90" s="47">
        <v>3</v>
      </c>
      <c r="F90" s="22" t="s">
        <v>15</v>
      </c>
      <c r="G90" s="41">
        <v>4.2889999999999997</v>
      </c>
    </row>
    <row r="91" spans="1:7" s="1" customFormat="1" ht="18.75" x14ac:dyDescent="0.3">
      <c r="A91" s="38"/>
      <c r="B91" s="22">
        <v>71</v>
      </c>
      <c r="C91" s="43" t="s">
        <v>100</v>
      </c>
      <c r="D91" s="40">
        <v>0.7</v>
      </c>
      <c r="E91" s="48">
        <v>2</v>
      </c>
      <c r="F91" s="22" t="s">
        <v>15</v>
      </c>
      <c r="G91" s="41">
        <v>1.998</v>
      </c>
    </row>
    <row r="92" spans="1:7" s="1" customFormat="1" ht="18.75" x14ac:dyDescent="0.3">
      <c r="A92" s="38"/>
      <c r="B92" s="22">
        <v>72</v>
      </c>
      <c r="C92" s="43" t="s">
        <v>101</v>
      </c>
      <c r="D92" s="40">
        <v>0.7</v>
      </c>
      <c r="E92" s="46">
        <v>2</v>
      </c>
      <c r="F92" s="22" t="s">
        <v>15</v>
      </c>
      <c r="G92" s="41">
        <v>1.131</v>
      </c>
    </row>
    <row r="93" spans="1:7" s="1" customFormat="1" ht="18.75" x14ac:dyDescent="0.3">
      <c r="A93" s="38"/>
      <c r="B93" s="22">
        <v>73</v>
      </c>
      <c r="C93" s="43" t="s">
        <v>102</v>
      </c>
      <c r="D93" s="40">
        <v>0.7</v>
      </c>
      <c r="E93" s="46">
        <v>1</v>
      </c>
      <c r="F93" s="22" t="s">
        <v>15</v>
      </c>
      <c r="G93" s="41">
        <v>1.3680000000000001</v>
      </c>
    </row>
    <row r="94" spans="1:7" s="1" customFormat="1" ht="18.75" x14ac:dyDescent="0.3">
      <c r="A94" s="38"/>
      <c r="B94" s="22">
        <v>74</v>
      </c>
      <c r="C94" s="43" t="s">
        <v>103</v>
      </c>
      <c r="D94" s="40">
        <v>0.7</v>
      </c>
      <c r="E94" s="46">
        <v>1</v>
      </c>
      <c r="F94" s="22" t="s">
        <v>15</v>
      </c>
      <c r="G94" s="41">
        <v>1.9</v>
      </c>
    </row>
    <row r="95" spans="1:7" s="1" customFormat="1" ht="18.75" x14ac:dyDescent="0.3">
      <c r="A95" s="38"/>
      <c r="B95" s="22"/>
      <c r="C95" s="45" t="s">
        <v>104</v>
      </c>
      <c r="D95" s="40"/>
      <c r="E95" s="4"/>
      <c r="F95" s="22"/>
      <c r="G95" s="55">
        <f>SUM(G86:G94)</f>
        <v>77.896000000000001</v>
      </c>
    </row>
    <row r="96" spans="1:7" s="1" customFormat="1" ht="18.75" x14ac:dyDescent="0.3">
      <c r="A96" s="38"/>
      <c r="B96" s="22">
        <v>75</v>
      </c>
      <c r="C96" s="43" t="s">
        <v>105</v>
      </c>
      <c r="D96" s="40">
        <v>0.7</v>
      </c>
      <c r="E96" s="46">
        <v>1</v>
      </c>
      <c r="F96" s="22" t="s">
        <v>15</v>
      </c>
      <c r="G96" s="41">
        <v>1.52</v>
      </c>
    </row>
    <row r="97" spans="1:7" s="1" customFormat="1" ht="18.75" x14ac:dyDescent="0.3">
      <c r="A97" s="38"/>
      <c r="B97" s="22">
        <v>76</v>
      </c>
      <c r="C97" s="43" t="s">
        <v>88</v>
      </c>
      <c r="D97" s="40">
        <v>0.7</v>
      </c>
      <c r="E97" s="46">
        <v>7</v>
      </c>
      <c r="F97" s="22" t="s">
        <v>15</v>
      </c>
      <c r="G97" s="41">
        <v>26.25</v>
      </c>
    </row>
    <row r="98" spans="1:7" s="1" customFormat="1" ht="18.75" x14ac:dyDescent="0.3">
      <c r="A98" s="38"/>
      <c r="B98" s="22">
        <v>77</v>
      </c>
      <c r="C98" s="43" t="s">
        <v>106</v>
      </c>
      <c r="D98" s="40">
        <v>0.7</v>
      </c>
      <c r="E98" s="46">
        <v>2</v>
      </c>
      <c r="F98" s="22" t="s">
        <v>15</v>
      </c>
      <c r="G98" s="41">
        <v>6</v>
      </c>
    </row>
    <row r="99" spans="1:7" s="1" customFormat="1" ht="18.75" x14ac:dyDescent="0.3">
      <c r="A99" s="38"/>
      <c r="B99" s="22">
        <v>78</v>
      </c>
      <c r="C99" s="43" t="s">
        <v>107</v>
      </c>
      <c r="D99" s="40">
        <v>0.7</v>
      </c>
      <c r="E99" s="46">
        <v>11</v>
      </c>
      <c r="F99" s="22" t="s">
        <v>15</v>
      </c>
      <c r="G99" s="41">
        <v>38.5</v>
      </c>
    </row>
    <row r="100" spans="1:7" s="1" customFormat="1" ht="18.75" x14ac:dyDescent="0.3">
      <c r="A100" s="38"/>
      <c r="B100" s="22">
        <v>79</v>
      </c>
      <c r="C100" s="43" t="s">
        <v>108</v>
      </c>
      <c r="D100" s="40">
        <v>0.7</v>
      </c>
      <c r="E100" s="46">
        <v>1</v>
      </c>
      <c r="F100" s="22" t="s">
        <v>15</v>
      </c>
      <c r="G100" s="41">
        <v>2.8</v>
      </c>
    </row>
    <row r="101" spans="1:7" s="1" customFormat="1" ht="18.75" x14ac:dyDescent="0.3">
      <c r="A101" s="38"/>
      <c r="B101" s="22">
        <v>80</v>
      </c>
      <c r="C101" s="43" t="s">
        <v>109</v>
      </c>
      <c r="D101" s="40">
        <v>0.7</v>
      </c>
      <c r="E101" s="46">
        <v>1</v>
      </c>
      <c r="F101" s="22" t="s">
        <v>15</v>
      </c>
      <c r="G101" s="41">
        <v>4.4000000000000004</v>
      </c>
    </row>
    <row r="102" spans="1:7" s="1" customFormat="1" ht="18.75" x14ac:dyDescent="0.3">
      <c r="A102" s="38"/>
      <c r="B102" s="22">
        <v>81</v>
      </c>
      <c r="C102" s="43" t="s">
        <v>110</v>
      </c>
      <c r="D102" s="40">
        <v>0.7</v>
      </c>
      <c r="E102" s="46">
        <v>2</v>
      </c>
      <c r="F102" s="22" t="s">
        <v>15</v>
      </c>
      <c r="G102" s="41">
        <v>5.55</v>
      </c>
    </row>
    <row r="103" spans="1:7" s="1" customFormat="1" ht="18.75" x14ac:dyDescent="0.3">
      <c r="A103" s="38"/>
      <c r="B103" s="22">
        <v>82</v>
      </c>
      <c r="C103" s="43" t="s">
        <v>68</v>
      </c>
      <c r="D103" s="40">
        <v>0.7</v>
      </c>
      <c r="E103" s="40">
        <v>1</v>
      </c>
      <c r="F103" s="22" t="s">
        <v>15</v>
      </c>
      <c r="G103" s="41">
        <v>1.5980000000000001</v>
      </c>
    </row>
    <row r="104" spans="1:7" s="1" customFormat="1" ht="18.75" x14ac:dyDescent="0.3">
      <c r="A104" s="38"/>
      <c r="B104" s="22">
        <v>83</v>
      </c>
      <c r="C104" s="43" t="s">
        <v>111</v>
      </c>
      <c r="D104" s="40">
        <v>0.7</v>
      </c>
      <c r="E104" s="40">
        <v>2</v>
      </c>
      <c r="F104" s="22" t="s">
        <v>15</v>
      </c>
      <c r="G104" s="41">
        <v>0.99299999999999999</v>
      </c>
    </row>
    <row r="105" spans="1:7" s="1" customFormat="1" ht="18.75" x14ac:dyDescent="0.3">
      <c r="A105" s="38"/>
      <c r="B105" s="22">
        <v>84</v>
      </c>
      <c r="C105" s="43" t="s">
        <v>69</v>
      </c>
      <c r="D105" s="40">
        <v>0.7</v>
      </c>
      <c r="E105" s="40">
        <v>1</v>
      </c>
      <c r="F105" s="22" t="s">
        <v>15</v>
      </c>
      <c r="G105" s="41">
        <v>1.931</v>
      </c>
    </row>
    <row r="106" spans="1:7" s="1" customFormat="1" ht="18.75" x14ac:dyDescent="0.3">
      <c r="A106" s="38"/>
      <c r="B106" s="22">
        <v>85</v>
      </c>
      <c r="C106" s="43" t="s">
        <v>70</v>
      </c>
      <c r="D106" s="40">
        <v>0.7</v>
      </c>
      <c r="E106" s="40">
        <v>1</v>
      </c>
      <c r="F106" s="22" t="s">
        <v>15</v>
      </c>
      <c r="G106" s="41">
        <v>1.7829999999999999</v>
      </c>
    </row>
    <row r="107" spans="1:7" s="1" customFormat="1" ht="18.75" x14ac:dyDescent="0.3">
      <c r="A107" s="38"/>
      <c r="B107" s="22">
        <v>86</v>
      </c>
      <c r="C107" s="43" t="s">
        <v>71</v>
      </c>
      <c r="D107" s="40">
        <v>0.7</v>
      </c>
      <c r="E107" s="40">
        <v>1</v>
      </c>
      <c r="F107" s="22" t="s">
        <v>15</v>
      </c>
      <c r="G107" s="41">
        <v>1.7</v>
      </c>
    </row>
    <row r="108" spans="1:7" s="1" customFormat="1" ht="18.75" x14ac:dyDescent="0.3">
      <c r="A108" s="38"/>
      <c r="B108" s="22"/>
      <c r="C108" s="42" t="s">
        <v>72</v>
      </c>
      <c r="D108" s="40"/>
      <c r="E108" s="40"/>
      <c r="F108" s="22"/>
      <c r="G108" s="55">
        <f>SUM(G96:G107)</f>
        <v>93.024999999999991</v>
      </c>
    </row>
    <row r="109" spans="1:7" s="1" customFormat="1" ht="18.75" x14ac:dyDescent="0.3">
      <c r="A109" s="38"/>
      <c r="B109" s="22">
        <v>87</v>
      </c>
      <c r="C109" s="43" t="s">
        <v>24</v>
      </c>
      <c r="D109" s="40">
        <v>0.5</v>
      </c>
      <c r="E109" s="40">
        <v>24</v>
      </c>
      <c r="F109" s="22" t="s">
        <v>15</v>
      </c>
      <c r="G109" s="41">
        <v>42</v>
      </c>
    </row>
    <row r="110" spans="1:7" s="1" customFormat="1" ht="18.75" x14ac:dyDescent="0.3">
      <c r="A110" s="38"/>
      <c r="B110" s="22">
        <v>88</v>
      </c>
      <c r="C110" s="43" t="s">
        <v>74</v>
      </c>
      <c r="D110" s="40">
        <v>0.5</v>
      </c>
      <c r="E110" s="40">
        <v>2</v>
      </c>
      <c r="F110" s="22" t="s">
        <v>15</v>
      </c>
      <c r="G110" s="41">
        <v>2.8</v>
      </c>
    </row>
    <row r="111" spans="1:7" s="1" customFormat="1" ht="18.75" x14ac:dyDescent="0.3">
      <c r="A111" s="38"/>
      <c r="B111" s="22">
        <v>89</v>
      </c>
      <c r="C111" s="43" t="s">
        <v>73</v>
      </c>
      <c r="D111" s="40">
        <v>0.5</v>
      </c>
      <c r="E111" s="40">
        <v>1</v>
      </c>
      <c r="F111" s="22" t="s">
        <v>15</v>
      </c>
      <c r="G111" s="41">
        <v>0.56000000000000005</v>
      </c>
    </row>
    <row r="112" spans="1:7" s="1" customFormat="1" ht="18.75" x14ac:dyDescent="0.3">
      <c r="A112" s="38"/>
      <c r="B112" s="22">
        <v>90</v>
      </c>
      <c r="C112" s="43" t="s">
        <v>115</v>
      </c>
      <c r="D112" s="40">
        <v>0.5</v>
      </c>
      <c r="E112" s="40">
        <v>2</v>
      </c>
      <c r="F112" s="22" t="s">
        <v>15</v>
      </c>
      <c r="G112" s="41">
        <v>1.052</v>
      </c>
    </row>
    <row r="113" spans="1:7" s="1" customFormat="1" ht="18.75" x14ac:dyDescent="0.3">
      <c r="A113" s="38"/>
      <c r="B113" s="22">
        <v>91</v>
      </c>
      <c r="C113" s="43" t="s">
        <v>40</v>
      </c>
      <c r="D113" s="40">
        <v>0.5</v>
      </c>
      <c r="E113" s="40">
        <v>4</v>
      </c>
      <c r="F113" s="22" t="s">
        <v>15</v>
      </c>
      <c r="G113" s="41">
        <v>2.5430000000000001</v>
      </c>
    </row>
    <row r="114" spans="1:7" s="1" customFormat="1" ht="18.75" x14ac:dyDescent="0.3">
      <c r="A114" s="38"/>
      <c r="B114" s="22"/>
      <c r="C114" s="43"/>
      <c r="D114" s="40"/>
      <c r="E114" s="40"/>
      <c r="F114" s="22"/>
      <c r="G114" s="54">
        <f>SUM(G109:G113)</f>
        <v>48.954999999999998</v>
      </c>
    </row>
    <row r="115" spans="1:7" s="1" customFormat="1" ht="18.75" x14ac:dyDescent="0.3">
      <c r="A115" s="38"/>
      <c r="B115" s="22">
        <v>92</v>
      </c>
      <c r="C115" s="43" t="s">
        <v>75</v>
      </c>
      <c r="D115" s="40">
        <v>0.7</v>
      </c>
      <c r="E115" s="40">
        <v>1</v>
      </c>
      <c r="F115" s="22" t="s">
        <v>15</v>
      </c>
      <c r="G115" s="53">
        <v>0.746</v>
      </c>
    </row>
    <row r="116" spans="1:7" s="1" customFormat="1" ht="18.75" x14ac:dyDescent="0.3">
      <c r="A116" s="38"/>
      <c r="B116" s="22"/>
      <c r="C116" s="4" t="s">
        <v>76</v>
      </c>
      <c r="D116" s="40"/>
      <c r="E116" s="40"/>
      <c r="F116" s="22"/>
      <c r="G116" s="41"/>
    </row>
    <row r="117" spans="1:7" s="1" customFormat="1" ht="18.75" x14ac:dyDescent="0.3">
      <c r="A117" s="38"/>
      <c r="B117" s="22">
        <v>93</v>
      </c>
      <c r="C117" s="43" t="s">
        <v>81</v>
      </c>
      <c r="D117" s="40">
        <v>0.7</v>
      </c>
      <c r="E117" s="40">
        <v>8</v>
      </c>
      <c r="F117" s="22" t="s">
        <v>15</v>
      </c>
      <c r="G117" s="41">
        <v>15.71</v>
      </c>
    </row>
    <row r="118" spans="1:7" s="1" customFormat="1" ht="18.75" x14ac:dyDescent="0.3">
      <c r="A118" s="38"/>
      <c r="B118" s="22">
        <v>94</v>
      </c>
      <c r="C118" s="43" t="s">
        <v>83</v>
      </c>
      <c r="D118" s="40">
        <v>0.7</v>
      </c>
      <c r="E118" s="40">
        <v>1</v>
      </c>
      <c r="F118" s="22" t="s">
        <v>15</v>
      </c>
      <c r="G118" s="41">
        <v>1.57</v>
      </c>
    </row>
    <row r="119" spans="1:7" s="1" customFormat="1" ht="18.75" x14ac:dyDescent="0.3">
      <c r="A119" s="38"/>
      <c r="B119" s="22">
        <v>95</v>
      </c>
      <c r="C119" s="43" t="s">
        <v>77</v>
      </c>
      <c r="D119" s="40">
        <v>0.7</v>
      </c>
      <c r="E119" s="40">
        <v>3</v>
      </c>
      <c r="F119" s="22" t="s">
        <v>15</v>
      </c>
      <c r="G119" s="41">
        <v>3.7010000000000001</v>
      </c>
    </row>
    <row r="120" spans="1:7" s="1" customFormat="1" ht="18.75" x14ac:dyDescent="0.3">
      <c r="A120" s="38"/>
      <c r="B120" s="22">
        <v>96</v>
      </c>
      <c r="C120" s="43" t="s">
        <v>78</v>
      </c>
      <c r="D120" s="40">
        <v>0.7</v>
      </c>
      <c r="E120" s="40">
        <v>1</v>
      </c>
      <c r="F120" s="22" t="s">
        <v>15</v>
      </c>
      <c r="G120" s="41">
        <v>1</v>
      </c>
    </row>
    <row r="121" spans="1:7" s="1" customFormat="1" ht="18.75" x14ac:dyDescent="0.3">
      <c r="A121" s="38"/>
      <c r="B121" s="22"/>
      <c r="C121" s="42" t="s">
        <v>79</v>
      </c>
      <c r="D121" s="40"/>
      <c r="E121" s="40"/>
      <c r="F121" s="22"/>
      <c r="G121" s="58">
        <f>SUM(G115:G120)</f>
        <v>22.727</v>
      </c>
    </row>
    <row r="122" spans="1:7" s="1" customFormat="1" ht="18.75" x14ac:dyDescent="0.3">
      <c r="A122" s="38"/>
      <c r="B122" s="22">
        <v>97</v>
      </c>
      <c r="C122" s="43" t="s">
        <v>82</v>
      </c>
      <c r="D122" s="40">
        <v>0.7</v>
      </c>
      <c r="E122" s="40">
        <v>8</v>
      </c>
      <c r="F122" s="22" t="s">
        <v>15</v>
      </c>
      <c r="G122" s="41">
        <v>12.57</v>
      </c>
    </row>
    <row r="123" spans="1:7" s="1" customFormat="1" ht="18.75" x14ac:dyDescent="0.3">
      <c r="A123" s="38"/>
      <c r="B123" s="22">
        <v>98</v>
      </c>
      <c r="C123" s="43" t="s">
        <v>84</v>
      </c>
      <c r="D123" s="40">
        <v>0.7</v>
      </c>
      <c r="E123" s="40">
        <v>1</v>
      </c>
      <c r="F123" s="22" t="s">
        <v>15</v>
      </c>
      <c r="G123" s="41">
        <v>1.26</v>
      </c>
    </row>
    <row r="124" spans="1:7" s="1" customFormat="1" ht="18.75" x14ac:dyDescent="0.3">
      <c r="A124" s="38"/>
      <c r="B124" s="22">
        <v>99</v>
      </c>
      <c r="C124" s="44" t="s">
        <v>32</v>
      </c>
      <c r="D124" s="40">
        <v>0.7</v>
      </c>
      <c r="E124" s="40">
        <v>3</v>
      </c>
      <c r="F124" s="22" t="s">
        <v>15</v>
      </c>
      <c r="G124" s="41">
        <v>2.3690000000000002</v>
      </c>
    </row>
    <row r="125" spans="1:7" s="1" customFormat="1" ht="18.75" x14ac:dyDescent="0.3">
      <c r="A125" s="38"/>
      <c r="B125" s="22">
        <v>100</v>
      </c>
      <c r="C125" s="43" t="s">
        <v>80</v>
      </c>
      <c r="D125" s="40">
        <v>0.7</v>
      </c>
      <c r="E125" s="40">
        <v>1</v>
      </c>
      <c r="F125" s="22" t="s">
        <v>15</v>
      </c>
      <c r="G125" s="41">
        <v>1</v>
      </c>
    </row>
    <row r="126" spans="1:7" s="1" customFormat="1" ht="18.75" x14ac:dyDescent="0.3">
      <c r="A126" s="38"/>
      <c r="B126" s="22"/>
      <c r="C126" s="42" t="s">
        <v>50</v>
      </c>
      <c r="D126" s="40"/>
      <c r="E126" s="40"/>
      <c r="F126" s="22"/>
      <c r="G126" s="52">
        <f>SUM(G122:G125)</f>
        <v>17.199000000000002</v>
      </c>
    </row>
    <row r="127" spans="1:7" s="1" customFormat="1" ht="18.75" x14ac:dyDescent="0.3">
      <c r="A127" s="38"/>
      <c r="B127" s="22">
        <v>101</v>
      </c>
      <c r="C127" s="43" t="s">
        <v>116</v>
      </c>
      <c r="D127" s="40">
        <v>0.5</v>
      </c>
      <c r="E127" s="40">
        <v>10</v>
      </c>
      <c r="F127" s="22" t="s">
        <v>15</v>
      </c>
      <c r="G127" s="41">
        <v>7.85</v>
      </c>
    </row>
    <row r="128" spans="1:7" s="1" customFormat="1" ht="18.75" x14ac:dyDescent="0.3">
      <c r="A128" s="38"/>
      <c r="B128" s="22">
        <v>102</v>
      </c>
      <c r="C128" s="43" t="s">
        <v>53</v>
      </c>
      <c r="D128" s="40">
        <v>0.5</v>
      </c>
      <c r="E128" s="40">
        <v>1</v>
      </c>
      <c r="F128" s="22" t="s">
        <v>15</v>
      </c>
      <c r="G128" s="41">
        <v>0.31</v>
      </c>
    </row>
    <row r="129" spans="1:8" s="1" customFormat="1" ht="18.75" x14ac:dyDescent="0.3">
      <c r="A129" s="38"/>
      <c r="B129" s="22">
        <v>103</v>
      </c>
      <c r="C129" s="43" t="s">
        <v>39</v>
      </c>
      <c r="D129" s="40">
        <v>0.5</v>
      </c>
      <c r="E129" s="40">
        <v>3</v>
      </c>
      <c r="F129" s="22" t="s">
        <v>15</v>
      </c>
      <c r="G129" s="41">
        <v>0.59199999999999997</v>
      </c>
    </row>
    <row r="130" spans="1:8" s="1" customFormat="1" ht="18.75" x14ac:dyDescent="0.3">
      <c r="A130" s="38"/>
      <c r="B130" s="56"/>
      <c r="C130" s="57"/>
      <c r="D130" s="40"/>
      <c r="E130" s="40"/>
      <c r="F130" s="56"/>
      <c r="G130" s="54">
        <f>SUM(G127:G129)</f>
        <v>8.7520000000000007</v>
      </c>
    </row>
    <row r="131" spans="1:8" s="1" customFormat="1" ht="19.5" thickBot="1" x14ac:dyDescent="0.35">
      <c r="A131" s="15"/>
      <c r="B131" s="28"/>
      <c r="C131" s="25"/>
      <c r="D131" s="26"/>
      <c r="E131" s="27"/>
      <c r="F131" s="74" t="s">
        <v>122</v>
      </c>
      <c r="G131" s="75"/>
      <c r="H131" s="4"/>
    </row>
    <row r="132" spans="1:8" ht="20.25" x14ac:dyDescent="0.3">
      <c r="A132" s="9"/>
      <c r="B132" s="10"/>
      <c r="C132" s="9"/>
      <c r="D132" s="9"/>
      <c r="E132" s="10"/>
      <c r="F132" s="73"/>
      <c r="G132" s="73"/>
    </row>
    <row r="133" spans="1:8" ht="18.75" x14ac:dyDescent="0.3">
      <c r="A133" s="19"/>
      <c r="B133" s="59" t="s">
        <v>16</v>
      </c>
      <c r="C133" s="59"/>
      <c r="D133" s="59"/>
      <c r="E133" s="59"/>
      <c r="F133" s="59"/>
      <c r="G133" s="59"/>
    </row>
    <row r="134" spans="1:8" ht="18.75" x14ac:dyDescent="0.3">
      <c r="A134" s="3"/>
      <c r="B134" s="20"/>
      <c r="C134" s="3"/>
      <c r="D134" s="71" t="s">
        <v>119</v>
      </c>
      <c r="E134" s="71"/>
      <c r="F134" s="71"/>
      <c r="G134" s="71"/>
    </row>
    <row r="135" spans="1:8" s="4" customFormat="1" ht="18.75" x14ac:dyDescent="0.3">
      <c r="B135" s="21"/>
      <c r="C135" s="4" t="s">
        <v>118</v>
      </c>
      <c r="D135" s="71" t="s">
        <v>120</v>
      </c>
      <c r="E135" s="71"/>
      <c r="F135" s="71"/>
      <c r="G135" s="71"/>
    </row>
    <row r="136" spans="1:8" ht="20.25" x14ac:dyDescent="0.3">
      <c r="A136" s="7"/>
      <c r="B136" s="8"/>
      <c r="C136" s="7"/>
      <c r="D136" s="72" t="s">
        <v>121</v>
      </c>
      <c r="E136" s="72"/>
      <c r="F136" s="72"/>
      <c r="G136" s="72"/>
    </row>
  </sheetData>
  <mergeCells count="16">
    <mergeCell ref="D134:G134"/>
    <mergeCell ref="D135:G135"/>
    <mergeCell ref="D136:G136"/>
    <mergeCell ref="F132:G132"/>
    <mergeCell ref="F131:G131"/>
    <mergeCell ref="B133:G133"/>
    <mergeCell ref="A10:B10"/>
    <mergeCell ref="A11:B11"/>
    <mergeCell ref="A1:B7"/>
    <mergeCell ref="C1:G1"/>
    <mergeCell ref="C3:G3"/>
    <mergeCell ref="C4:G4"/>
    <mergeCell ref="C5:G5"/>
    <mergeCell ref="C6:G6"/>
    <mergeCell ref="C2:G2"/>
    <mergeCell ref="A13:G14"/>
  </mergeCells>
  <pageMargins left="0.54312499999999997" right="0.45260416666666664" top="0" bottom="0.75" header="0.3" footer="0.3"/>
  <pageSetup paperSize="9" scale="58" orientation="portrait" r:id="rId1"/>
  <rowBreaks count="2" manualBreakCount="2">
    <brk id="72" max="16383" man="1"/>
    <brk id="1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2025-07-30T09:13:45Z</cp:lastPrinted>
  <dcterms:created xsi:type="dcterms:W3CDTF">2024-12-12T10:46:00Z</dcterms:created>
  <dcterms:modified xsi:type="dcterms:W3CDTF">2025-08-14T11:52:06Z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484D0653C7E446E6A2E92CF7852BAC8D_12</vt:lpwstr>
  </property>
  <property fmtid="{D5CDD505-2E9C-101B-9397-08002B2CF9AE}" pid="3" name="KSOProductBuildVer">
    <vt:lpwstr>1049-12.2.0.19805</vt:lpwstr>
  </property>
</Properties>
</file>