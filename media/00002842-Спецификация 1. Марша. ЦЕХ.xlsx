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Проекты Магомеда\Мейкхайс Марша\ЦЕХ\Проект\Спецификация\"/>
    </mc:Choice>
  </mc:AlternateContent>
  <xr:revisionPtr revIDLastSave="0" documentId="13_ncr:1_{40B434C0-32E1-4A92-BE9D-4EA683790B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8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8" l="1"/>
  <c r="F96" i="8"/>
</calcChain>
</file>

<file path=xl/sharedStrings.xml><?xml version="1.0" encoding="utf-8"?>
<sst xmlns="http://schemas.openxmlformats.org/spreadsheetml/2006/main" count="370" uniqueCount="125">
  <si>
    <t xml:space="preserve"> </t>
  </si>
  <si>
    <t>шт.</t>
  </si>
  <si>
    <t>Воздуховод из оцинкованной стали, 0,7 мм.</t>
  </si>
  <si>
    <t>700х400</t>
  </si>
  <si>
    <t>м</t>
  </si>
  <si>
    <t>500х350</t>
  </si>
  <si>
    <t>400х350</t>
  </si>
  <si>
    <t>Воздуховод из оцинкованной стали, 0,5 мм.</t>
  </si>
  <si>
    <t xml:space="preserve">Переход из оцинкованной стали, 0,7 мм. </t>
  </si>
  <si>
    <t>700х400 на 500х350,   L=300 мм.</t>
  </si>
  <si>
    <t>Эскиз 1</t>
  </si>
  <si>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315</t>
    </r>
  </si>
  <si>
    <t>ø220</t>
  </si>
  <si>
    <t>ø315</t>
  </si>
  <si>
    <t>ø180</t>
  </si>
  <si>
    <t>ø160</t>
  </si>
  <si>
    <t>ø125</t>
  </si>
  <si>
    <t>ø100</t>
  </si>
  <si>
    <t>500х350 на ø315,   L=300 мм.</t>
  </si>
  <si>
    <t>400х350 на ø315,   L=300 мм.</t>
  </si>
  <si>
    <r>
      <t>Колено 90</t>
    </r>
    <r>
      <rPr>
        <sz val="11"/>
        <color theme="1"/>
        <rFont val="Arial"/>
        <family val="2"/>
        <charset val="204"/>
      </rPr>
      <t xml:space="preserve">° </t>
    </r>
    <r>
      <rPr>
        <sz val="11"/>
        <color theme="1"/>
        <rFont val="Calibri"/>
        <family val="2"/>
        <charset val="204"/>
        <scheme val="minor"/>
      </rPr>
      <t>из оцинкованной стали, 0,7 мм.</t>
    </r>
  </si>
  <si>
    <t>Колено 90° из оцинкованной стали, 0,7 мм.</t>
  </si>
  <si>
    <t>Колено 90° из оцинкованной стали, 0,5 мм.</t>
  </si>
  <si>
    <t xml:space="preserve">Переход из оцинкованной стали, 0,5 мм. </t>
  </si>
  <si>
    <t>350х500</t>
  </si>
  <si>
    <t>Эскиз 2</t>
  </si>
  <si>
    <t>350х400</t>
  </si>
  <si>
    <t>Эскиз 3</t>
  </si>
  <si>
    <t>ø220 на ø180,   L=200 мм.</t>
  </si>
  <si>
    <t>ø180 на ø125,   L=200 мм.</t>
  </si>
  <si>
    <t>ø160 на ø125,   L=200 мм.</t>
  </si>
  <si>
    <t>Утка 60° из оцинкованной стали, 0,5 мм.</t>
  </si>
  <si>
    <t>Врезка круглая в круглый воздуховод, 0,5 мм.</t>
  </si>
  <si>
    <t>700х500</t>
  </si>
  <si>
    <t>700х350</t>
  </si>
  <si>
    <t>500х800</t>
  </si>
  <si>
    <t>500х700</t>
  </si>
  <si>
    <t>ø200</t>
  </si>
  <si>
    <r>
      <t>Колено 90</t>
    </r>
    <r>
      <rPr>
        <sz val="11"/>
        <color theme="1"/>
        <rFont val="Arial"/>
        <family val="2"/>
        <charset val="204"/>
      </rPr>
      <t>°</t>
    </r>
    <r>
      <rPr>
        <sz val="11"/>
        <color theme="1"/>
        <rFont val="Calibri"/>
        <family val="2"/>
        <charset val="204"/>
        <scheme val="minor"/>
      </rPr>
      <t xml:space="preserve"> из оцинкованной стали, 0,7 мм.</t>
    </r>
  </si>
  <si>
    <t>Эскиз 4</t>
  </si>
  <si>
    <t>350х700</t>
  </si>
  <si>
    <t>Эскиз 5</t>
  </si>
  <si>
    <t>800х500 на 700х500,   L=300 мм.</t>
  </si>
  <si>
    <t>Эскиз 6</t>
  </si>
  <si>
    <t>700х500 на 700х350,   L=300 мм.</t>
  </si>
  <si>
    <t>Эскиз 7</t>
  </si>
  <si>
    <t>700х350 на 500х350,   L=300 мм.</t>
  </si>
  <si>
    <t>Утка 60°из оцинкованной стали, 0,7 мм.</t>
  </si>
  <si>
    <t>Утка 60° из оцинкованной стали, 0,7 мм.</t>
  </si>
  <si>
    <t xml:space="preserve">Тройник, 0,5 мм. </t>
  </si>
  <si>
    <t>400x400</t>
  </si>
  <si>
    <t>400x350</t>
  </si>
  <si>
    <t>400х400</t>
  </si>
  <si>
    <t>с сеткой</t>
  </si>
  <si>
    <t>ø270</t>
  </si>
  <si>
    <t>ø250</t>
  </si>
  <si>
    <t>Эскиз 8</t>
  </si>
  <si>
    <t>400x400 на 400х350,   L=300 мм.</t>
  </si>
  <si>
    <t>Эскиз 9</t>
  </si>
  <si>
    <t>1800x850x400(h)</t>
  </si>
  <si>
    <t>1350x700x400(h)</t>
  </si>
  <si>
    <r>
      <t>Колено 135</t>
    </r>
    <r>
      <rPr>
        <sz val="11"/>
        <color theme="1"/>
        <rFont val="Arial"/>
        <family val="2"/>
        <charset val="204"/>
      </rPr>
      <t>°</t>
    </r>
    <r>
      <rPr>
        <sz val="11"/>
        <color theme="1"/>
        <rFont val="Calibri"/>
        <family val="2"/>
        <charset val="204"/>
        <scheme val="minor"/>
      </rPr>
      <t xml:space="preserve"> из оцинкованной стали, 0,5 мм.</t>
    </r>
  </si>
  <si>
    <t>450x450</t>
  </si>
  <si>
    <t>450x350</t>
  </si>
  <si>
    <t>450х450</t>
  </si>
  <si>
    <t>Колено 75° из оцинкованной стали, 0,7 мм.</t>
  </si>
  <si>
    <t>450х450 на 450х350,   L=300 мм.</t>
  </si>
  <si>
    <t>2000x1000x400(h)</t>
  </si>
  <si>
    <t>1500x1000x400(h)</t>
  </si>
  <si>
    <t>450х350 на ø315,   L=300 мм.</t>
  </si>
  <si>
    <r>
      <t xml:space="preserve">ø315 на </t>
    </r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220,   L=300 мм.</t>
    </r>
  </si>
  <si>
    <t xml:space="preserve">Врезка круглая в круглый воздуховод, 0,5 мм. </t>
  </si>
  <si>
    <t xml:space="preserve">Тройник из оцинкованной стали, 0,5 мм. </t>
  </si>
  <si>
    <t>ø220 на ø200,   L=200 мм.</t>
  </si>
  <si>
    <t>ø220 на ø160,   L=200 мм.</t>
  </si>
  <si>
    <t>ø220 на ø100,   L=200 мм.</t>
  </si>
  <si>
    <t>ø160 на ø100,   L=200 мм.</t>
  </si>
  <si>
    <t>400х350, L=100</t>
  </si>
  <si>
    <t>ø315, L=100</t>
  </si>
  <si>
    <t>ø160 в ø180, L=100</t>
  </si>
  <si>
    <t>ø100 в ø220,  L=50</t>
  </si>
  <si>
    <t>ø200, L=100</t>
  </si>
  <si>
    <t>900х500 на 800х500,   L=50 мм.</t>
  </si>
  <si>
    <t>минимально возмжная длина</t>
  </si>
  <si>
    <t>Эскиз 10</t>
  </si>
  <si>
    <t>верхняя полка 400</t>
  </si>
  <si>
    <t xml:space="preserve">ø220, L=100 </t>
  </si>
  <si>
    <t xml:space="preserve">ø220 в ø315, L=100 </t>
  </si>
  <si>
    <t>ø400</t>
  </si>
  <si>
    <t xml:space="preserve">для нарезки муфт </t>
  </si>
  <si>
    <r>
      <t xml:space="preserve">с патрубком </t>
    </r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315 сбоку</t>
    </r>
  </si>
  <si>
    <t>400х400 на ø400 ,   L=300 мм.</t>
  </si>
  <si>
    <t xml:space="preserve"> 400х400 на 280х280,   L=300 мм.</t>
  </si>
  <si>
    <t>450х450 на ø400,   L=300 мм.</t>
  </si>
  <si>
    <t>ø200 на ø160,   L=200 мм.</t>
  </si>
  <si>
    <t>ø270, L=100</t>
  </si>
  <si>
    <t>ø250, L=100</t>
  </si>
  <si>
    <t>ø160, L=100</t>
  </si>
  <si>
    <t>ø125 в ø160, L=50</t>
  </si>
  <si>
    <t xml:space="preserve">ø125 в ø220, L=50 </t>
  </si>
  <si>
    <t>под диффузоры</t>
  </si>
  <si>
    <t>Статическая камера под диффузор АПН 600х600</t>
  </si>
  <si>
    <t>№</t>
  </si>
  <si>
    <t>Наименование</t>
  </si>
  <si>
    <t>Размер</t>
  </si>
  <si>
    <t>пог.м./шт</t>
  </si>
  <si>
    <t>ед.из.</t>
  </si>
  <si>
    <t>м2</t>
  </si>
  <si>
    <t>Примечание</t>
  </si>
  <si>
    <t>0,5 мм:</t>
  </si>
  <si>
    <t>0,7 мм:</t>
  </si>
  <si>
    <t>Марша. ЦЕХ. Спецификация №1</t>
  </si>
  <si>
    <t xml:space="preserve">Дроссель клапан </t>
  </si>
  <si>
    <t>ø355</t>
  </si>
  <si>
    <t>400x350 на ø355,   L=300 мм.</t>
  </si>
  <si>
    <t>ø355 на ø270,   L=300 мм.</t>
  </si>
  <si>
    <t>ø250 в ø355, L=100</t>
  </si>
  <si>
    <t>верхняя полка 500</t>
  </si>
  <si>
    <t>с одной шина с другой врезка</t>
  </si>
  <si>
    <t>Зонт пристенный из нержавеющей стали с жир</t>
  </si>
  <si>
    <t>Врезка круглая в прямоуг воздуховод, 0,5 мм.</t>
  </si>
  <si>
    <t xml:space="preserve">Врезка круглая в прямоуг воздуховод, 0,5 мм. </t>
  </si>
  <si>
    <t>Врезка прямоуг в прямоуг воздуховод, 0,5 мм.</t>
  </si>
  <si>
    <t>Врезка круглая в прямоуг воздуховод, 0,5 мм</t>
  </si>
  <si>
    <t>446х446х390(h)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</si>
</sst>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left" vertical="center"/>
    </xf>
    <xf numFmtId="164" fontId="0" fillId="34" borderId="10" xfId="0" applyNumberFormat="1" applyFill="1" applyBorder="1" applyAlignment="1">
      <alignment horizontal="center" vertical="center"/>
    </xf>
    <xf numFmtId="2" fontId="0" fillId="34" borderId="10" xfId="0" applyNumberFormat="1" applyFill="1" applyBorder="1" applyAlignment="1">
      <alignment horizontal="center" vertical="center"/>
    </xf>
    <xf numFmtId="2" fontId="0" fillId="0" borderId="0" xfId="0" applyNumberFormat="1"/>
    <xf numFmtId="2" fontId="19" fillId="0" borderId="0" xfId="0" applyNumberFormat="1" applyFont="1"/>
    <xf numFmtId="164" fontId="0" fillId="0" borderId="10" xfId="0" applyNumberFormat="1" applyBorder="1" applyAlignment="1">
      <alignment horizontal="center" vertical="center"/>
    </xf>
    <xf numFmtId="0" fontId="20" fillId="0" borderId="0" xfId="0" applyFont="1" applyAlignment="1">
      <alignment horizontal="right"/>
    </xf>
    <xf numFmtId="0" fontId="0" fillId="0" borderId="0" xfId="0" applyAlignment="1">
      <alignment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5F46-84EC-4164-B317-2CC622BC5814}">
  <sheetPr>
    <pageSetUpPr fitToPage="1"/>
  </sheetPr>
  <dimension ref="A1:H96"/>
  <sheetViews>
    <sheetView tabSelected="1" topLeftCell="A79" zoomScale="115" zoomScaleNormal="115" workbookViewId="0">
      <selection activeCell="C95" sqref="C95:E95"/>
    </sheetView>
  </sheetViews>
  <sheetFormatPr defaultRowHeight="15" x14ac:dyDescent="0.25"/>
  <cols>
    <col min="1" max="1" width="6.85546875" customWidth="1"/>
    <col min="2" max="2" width="46" customWidth="1"/>
    <col min="3" max="3" width="32.85546875" customWidth="1"/>
    <col min="4" max="4" width="15" customWidth="1"/>
    <col min="7" max="7" width="29.7109375" customWidth="1"/>
  </cols>
  <sheetData>
    <row r="1" spans="1:8" ht="23.25" customHeight="1" x14ac:dyDescent="0.25">
      <c r="A1" s="19" t="s">
        <v>111</v>
      </c>
      <c r="B1" s="19"/>
      <c r="C1" s="19"/>
      <c r="D1" s="19"/>
      <c r="E1" s="19"/>
      <c r="F1" s="19"/>
      <c r="G1" s="19"/>
    </row>
    <row r="3" spans="1:8" ht="33.75" customHeight="1" x14ac:dyDescent="0.25">
      <c r="A3" s="10" t="s">
        <v>102</v>
      </c>
      <c r="B3" s="10" t="s">
        <v>103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108</v>
      </c>
    </row>
    <row r="4" spans="1:8" ht="17.25" customHeight="1" x14ac:dyDescent="0.25">
      <c r="A4" s="3">
        <v>1</v>
      </c>
      <c r="B4" s="5" t="s">
        <v>112</v>
      </c>
      <c r="C4" s="3" t="s">
        <v>15</v>
      </c>
      <c r="D4" s="6">
        <v>1</v>
      </c>
      <c r="E4" s="3" t="s">
        <v>1</v>
      </c>
      <c r="F4" s="6"/>
      <c r="G4" s="3" t="s">
        <v>0</v>
      </c>
    </row>
    <row r="5" spans="1:8" x14ac:dyDescent="0.25">
      <c r="A5" s="3">
        <v>2</v>
      </c>
      <c r="B5" s="5" t="s">
        <v>112</v>
      </c>
      <c r="C5" s="3" t="s">
        <v>17</v>
      </c>
      <c r="D5" s="6">
        <v>1</v>
      </c>
      <c r="E5" s="3" t="s">
        <v>1</v>
      </c>
      <c r="F5" s="6"/>
      <c r="G5" s="3" t="s">
        <v>0</v>
      </c>
    </row>
    <row r="6" spans="1:8" x14ac:dyDescent="0.25">
      <c r="A6" s="3">
        <v>3</v>
      </c>
      <c r="B6" s="5" t="s">
        <v>2</v>
      </c>
      <c r="C6" s="3" t="s">
        <v>33</v>
      </c>
      <c r="D6" s="6">
        <v>4.2</v>
      </c>
      <c r="E6" s="3" t="s">
        <v>4</v>
      </c>
      <c r="F6" s="6">
        <v>10</v>
      </c>
      <c r="G6" s="3" t="s">
        <v>0</v>
      </c>
    </row>
    <row r="7" spans="1:8" x14ac:dyDescent="0.25">
      <c r="A7" s="3">
        <v>4</v>
      </c>
      <c r="B7" s="4" t="s">
        <v>2</v>
      </c>
      <c r="C7" s="3" t="s">
        <v>3</v>
      </c>
      <c r="D7" s="6">
        <v>6.2</v>
      </c>
      <c r="E7" s="3" t="s">
        <v>4</v>
      </c>
      <c r="F7" s="6">
        <v>13.64</v>
      </c>
      <c r="G7" s="3" t="s">
        <v>0</v>
      </c>
      <c r="H7" s="1"/>
    </row>
    <row r="8" spans="1:8" x14ac:dyDescent="0.25">
      <c r="A8" s="3">
        <v>5</v>
      </c>
      <c r="B8" s="5" t="s">
        <v>2</v>
      </c>
      <c r="C8" s="3" t="s">
        <v>34</v>
      </c>
      <c r="D8" s="6">
        <v>2.8</v>
      </c>
      <c r="E8" s="3" t="s">
        <v>4</v>
      </c>
      <c r="F8" s="6">
        <v>5.88</v>
      </c>
      <c r="G8" s="3" t="s">
        <v>0</v>
      </c>
    </row>
    <row r="9" spans="1:8" x14ac:dyDescent="0.25">
      <c r="A9" s="3">
        <v>6</v>
      </c>
      <c r="B9" s="4" t="s">
        <v>7</v>
      </c>
      <c r="C9" s="3" t="s">
        <v>5</v>
      </c>
      <c r="D9" s="6">
        <v>7</v>
      </c>
      <c r="E9" s="3" t="s">
        <v>4</v>
      </c>
      <c r="F9" s="6">
        <v>11.9</v>
      </c>
      <c r="G9" s="3" t="s">
        <v>0</v>
      </c>
      <c r="H9" s="1"/>
    </row>
    <row r="10" spans="1:8" x14ac:dyDescent="0.25">
      <c r="A10" s="3">
        <v>7</v>
      </c>
      <c r="B10" s="5" t="s">
        <v>2</v>
      </c>
      <c r="C10" s="3" t="s">
        <v>62</v>
      </c>
      <c r="D10" s="6">
        <v>4</v>
      </c>
      <c r="E10" s="3" t="s">
        <v>4</v>
      </c>
      <c r="F10" s="6">
        <v>7.2</v>
      </c>
      <c r="G10" s="3" t="s">
        <v>0</v>
      </c>
    </row>
    <row r="11" spans="1:8" x14ac:dyDescent="0.25">
      <c r="A11" s="3">
        <v>8</v>
      </c>
      <c r="B11" s="5" t="s">
        <v>2</v>
      </c>
      <c r="C11" s="3" t="s">
        <v>63</v>
      </c>
      <c r="D11" s="6">
        <v>1.9</v>
      </c>
      <c r="E11" s="3" t="s">
        <v>4</v>
      </c>
      <c r="F11" s="6">
        <v>3</v>
      </c>
      <c r="G11" s="3" t="s">
        <v>0</v>
      </c>
    </row>
    <row r="12" spans="1:8" x14ac:dyDescent="0.25">
      <c r="A12" s="3">
        <v>9</v>
      </c>
      <c r="B12" s="5" t="s">
        <v>2</v>
      </c>
      <c r="C12" s="3" t="s">
        <v>50</v>
      </c>
      <c r="D12" s="6">
        <v>4.5999999999999996</v>
      </c>
      <c r="E12" s="3" t="s">
        <v>4</v>
      </c>
      <c r="F12" s="6">
        <v>7.36</v>
      </c>
      <c r="G12" s="3" t="s">
        <v>0</v>
      </c>
    </row>
    <row r="13" spans="1:8" x14ac:dyDescent="0.25">
      <c r="A13" s="3">
        <v>10</v>
      </c>
      <c r="B13" s="4" t="s">
        <v>7</v>
      </c>
      <c r="C13" s="3" t="s">
        <v>6</v>
      </c>
      <c r="D13" s="6">
        <v>2</v>
      </c>
      <c r="E13" s="3" t="s">
        <v>4</v>
      </c>
      <c r="F13" s="6">
        <v>3</v>
      </c>
      <c r="G13" s="3" t="s">
        <v>0</v>
      </c>
      <c r="H13" s="1"/>
    </row>
    <row r="14" spans="1:8" x14ac:dyDescent="0.25">
      <c r="A14" s="3">
        <v>11</v>
      </c>
      <c r="B14" s="5" t="s">
        <v>2</v>
      </c>
      <c r="C14" s="3" t="s">
        <v>51</v>
      </c>
      <c r="D14" s="6">
        <v>4</v>
      </c>
      <c r="E14" s="3" t="s">
        <v>4</v>
      </c>
      <c r="F14" s="6">
        <v>6</v>
      </c>
      <c r="G14" s="3" t="s">
        <v>0</v>
      </c>
    </row>
    <row r="15" spans="1:8" x14ac:dyDescent="0.25">
      <c r="A15" s="3">
        <v>12</v>
      </c>
      <c r="B15" s="5" t="s">
        <v>7</v>
      </c>
      <c r="C15" s="3" t="s">
        <v>88</v>
      </c>
      <c r="D15" s="6">
        <v>0.4</v>
      </c>
      <c r="E15" s="3" t="s">
        <v>4</v>
      </c>
      <c r="F15" s="6">
        <v>0.5</v>
      </c>
      <c r="G15" s="3" t="s">
        <v>89</v>
      </c>
    </row>
    <row r="16" spans="1:8" x14ac:dyDescent="0.25">
      <c r="A16" s="3">
        <v>13</v>
      </c>
      <c r="B16" s="5" t="s">
        <v>2</v>
      </c>
      <c r="C16" s="3" t="s">
        <v>113</v>
      </c>
      <c r="D16" s="6">
        <v>1.25</v>
      </c>
      <c r="E16" s="3" t="s">
        <v>4</v>
      </c>
      <c r="F16" s="6">
        <v>1.39</v>
      </c>
      <c r="G16" s="3" t="s">
        <v>0</v>
      </c>
    </row>
    <row r="17" spans="1:8" x14ac:dyDescent="0.25">
      <c r="A17" s="3">
        <v>14</v>
      </c>
      <c r="B17" s="4" t="s">
        <v>7</v>
      </c>
      <c r="C17" s="3" t="s">
        <v>13</v>
      </c>
      <c r="D17" s="6">
        <v>7</v>
      </c>
      <c r="E17" s="3" t="s">
        <v>4</v>
      </c>
      <c r="F17" s="6">
        <v>6.93</v>
      </c>
      <c r="G17" s="3" t="s">
        <v>0</v>
      </c>
      <c r="H17" s="1"/>
    </row>
    <row r="18" spans="1:8" x14ac:dyDescent="0.25">
      <c r="A18" s="3">
        <v>15</v>
      </c>
      <c r="B18" s="5" t="s">
        <v>2</v>
      </c>
      <c r="C18" s="3" t="s">
        <v>11</v>
      </c>
      <c r="D18" s="6">
        <v>1</v>
      </c>
      <c r="E18" s="3" t="s">
        <v>4</v>
      </c>
      <c r="F18" s="6">
        <v>1</v>
      </c>
      <c r="G18" s="3" t="s">
        <v>0</v>
      </c>
    </row>
    <row r="19" spans="1:8" x14ac:dyDescent="0.25">
      <c r="A19" s="3">
        <v>16</v>
      </c>
      <c r="B19" s="5" t="s">
        <v>2</v>
      </c>
      <c r="C19" s="3" t="s">
        <v>54</v>
      </c>
      <c r="D19" s="6">
        <v>6.5</v>
      </c>
      <c r="E19" s="3" t="s">
        <v>4</v>
      </c>
      <c r="F19" s="6">
        <v>5.5</v>
      </c>
      <c r="G19" s="3" t="s">
        <v>0</v>
      </c>
    </row>
    <row r="20" spans="1:8" x14ac:dyDescent="0.25">
      <c r="A20" s="3">
        <v>17</v>
      </c>
      <c r="B20" s="5" t="s">
        <v>7</v>
      </c>
      <c r="C20" s="3" t="s">
        <v>55</v>
      </c>
      <c r="D20" s="6">
        <v>2.1</v>
      </c>
      <c r="E20" s="3" t="s">
        <v>4</v>
      </c>
      <c r="F20" s="6">
        <v>1.65</v>
      </c>
      <c r="G20" s="3" t="s">
        <v>0</v>
      </c>
    </row>
    <row r="21" spans="1:8" x14ac:dyDescent="0.25">
      <c r="A21" s="3">
        <v>18</v>
      </c>
      <c r="B21" s="4" t="s">
        <v>7</v>
      </c>
      <c r="C21" s="3" t="s">
        <v>12</v>
      </c>
      <c r="D21" s="6">
        <v>12.6</v>
      </c>
      <c r="E21" s="3" t="s">
        <v>4</v>
      </c>
      <c r="F21" s="6">
        <v>8.7100000000000009</v>
      </c>
      <c r="G21" s="3" t="s">
        <v>0</v>
      </c>
      <c r="H21" s="1"/>
    </row>
    <row r="22" spans="1:8" x14ac:dyDescent="0.25">
      <c r="A22" s="3">
        <v>19</v>
      </c>
      <c r="B22" s="5" t="s">
        <v>7</v>
      </c>
      <c r="C22" s="3" t="s">
        <v>37</v>
      </c>
      <c r="D22" s="6">
        <v>10.5</v>
      </c>
      <c r="E22" s="3" t="s">
        <v>4</v>
      </c>
      <c r="F22" s="6">
        <v>6.6</v>
      </c>
      <c r="G22" s="3" t="s">
        <v>0</v>
      </c>
    </row>
    <row r="23" spans="1:8" x14ac:dyDescent="0.25">
      <c r="A23" s="3">
        <v>20</v>
      </c>
      <c r="B23" s="4" t="s">
        <v>7</v>
      </c>
      <c r="C23" s="3" t="s">
        <v>14</v>
      </c>
      <c r="D23" s="6">
        <v>2.2000000000000002</v>
      </c>
      <c r="E23" s="3" t="s">
        <v>4</v>
      </c>
      <c r="F23" s="6">
        <v>1.24</v>
      </c>
      <c r="G23" s="3" t="s">
        <v>0</v>
      </c>
      <c r="H23" s="1"/>
    </row>
    <row r="24" spans="1:8" x14ac:dyDescent="0.25">
      <c r="A24" s="3">
        <v>21</v>
      </c>
      <c r="B24" s="5" t="s">
        <v>7</v>
      </c>
      <c r="C24" s="3" t="s">
        <v>15</v>
      </c>
      <c r="D24" s="6">
        <v>18</v>
      </c>
      <c r="E24" s="3" t="s">
        <v>4</v>
      </c>
      <c r="F24" s="6">
        <v>9</v>
      </c>
      <c r="G24" s="3" t="s">
        <v>0</v>
      </c>
    </row>
    <row r="25" spans="1:8" x14ac:dyDescent="0.25">
      <c r="A25" s="3">
        <v>22</v>
      </c>
      <c r="B25" s="4" t="s">
        <v>7</v>
      </c>
      <c r="C25" s="3" t="s">
        <v>16</v>
      </c>
      <c r="D25" s="6">
        <v>4.5</v>
      </c>
      <c r="E25" s="3" t="s">
        <v>4</v>
      </c>
      <c r="F25" s="6">
        <v>1.77</v>
      </c>
      <c r="G25" s="3" t="s">
        <v>0</v>
      </c>
      <c r="H25" s="1"/>
    </row>
    <row r="26" spans="1:8" x14ac:dyDescent="0.25">
      <c r="A26" s="3">
        <v>23</v>
      </c>
      <c r="B26" s="4" t="s">
        <v>7</v>
      </c>
      <c r="C26" s="3" t="s">
        <v>17</v>
      </c>
      <c r="D26" s="6">
        <v>10.6</v>
      </c>
      <c r="E26" s="3" t="s">
        <v>4</v>
      </c>
      <c r="F26" s="6">
        <v>3.33</v>
      </c>
      <c r="G26" s="3" t="s">
        <v>0</v>
      </c>
      <c r="H26" s="1"/>
    </row>
    <row r="27" spans="1:8" x14ac:dyDescent="0.25">
      <c r="A27" s="3">
        <v>24</v>
      </c>
      <c r="B27" s="5" t="s">
        <v>21</v>
      </c>
      <c r="C27" s="3" t="s">
        <v>33</v>
      </c>
      <c r="D27" s="6">
        <v>1</v>
      </c>
      <c r="E27" s="3" t="s">
        <v>1</v>
      </c>
      <c r="F27" s="6">
        <v>1.75</v>
      </c>
      <c r="G27" s="3" t="s">
        <v>0</v>
      </c>
    </row>
    <row r="28" spans="1:8" x14ac:dyDescent="0.25">
      <c r="A28" s="3">
        <v>25</v>
      </c>
      <c r="B28" s="4" t="s">
        <v>20</v>
      </c>
      <c r="C28" s="3" t="s">
        <v>3</v>
      </c>
      <c r="D28" s="6">
        <v>1</v>
      </c>
      <c r="E28" s="3" t="s">
        <v>1</v>
      </c>
      <c r="F28" s="6">
        <v>1.6</v>
      </c>
      <c r="G28" s="3" t="s">
        <v>0</v>
      </c>
      <c r="H28" s="1"/>
    </row>
    <row r="29" spans="1:8" x14ac:dyDescent="0.25">
      <c r="A29" s="3">
        <v>26</v>
      </c>
      <c r="B29" s="5" t="s">
        <v>38</v>
      </c>
      <c r="C29" s="3" t="s">
        <v>35</v>
      </c>
      <c r="D29" s="6">
        <v>2</v>
      </c>
      <c r="E29" s="3" t="s">
        <v>1</v>
      </c>
      <c r="F29" s="6">
        <v>2.97</v>
      </c>
      <c r="G29" s="3" t="s">
        <v>0</v>
      </c>
    </row>
    <row r="30" spans="1:8" x14ac:dyDescent="0.25">
      <c r="A30" s="3">
        <v>27</v>
      </c>
      <c r="B30" s="5" t="s">
        <v>21</v>
      </c>
      <c r="C30" s="3" t="s">
        <v>36</v>
      </c>
      <c r="D30" s="6">
        <v>1</v>
      </c>
      <c r="E30" s="3" t="s">
        <v>1</v>
      </c>
      <c r="F30" s="6">
        <v>1.37</v>
      </c>
      <c r="G30" s="3" t="s">
        <v>0</v>
      </c>
    </row>
    <row r="31" spans="1:8" x14ac:dyDescent="0.25">
      <c r="A31" s="3">
        <v>28</v>
      </c>
      <c r="B31" s="4" t="s">
        <v>22</v>
      </c>
      <c r="C31" s="3" t="s">
        <v>5</v>
      </c>
      <c r="D31" s="6">
        <v>1</v>
      </c>
      <c r="E31" s="3" t="s">
        <v>1</v>
      </c>
      <c r="F31" s="6">
        <v>0.97</v>
      </c>
      <c r="G31" s="3" t="s">
        <v>0</v>
      </c>
      <c r="H31" s="1"/>
    </row>
    <row r="32" spans="1:8" x14ac:dyDescent="0.25">
      <c r="A32" s="3">
        <v>29</v>
      </c>
      <c r="B32" s="5" t="s">
        <v>21</v>
      </c>
      <c r="C32" s="3" t="s">
        <v>64</v>
      </c>
      <c r="D32" s="6">
        <v>2</v>
      </c>
      <c r="E32" s="3" t="s">
        <v>1</v>
      </c>
      <c r="F32" s="6">
        <v>1.9</v>
      </c>
      <c r="G32" s="3" t="s">
        <v>0</v>
      </c>
    </row>
    <row r="33" spans="1:8" x14ac:dyDescent="0.25">
      <c r="A33" s="3">
        <v>30</v>
      </c>
      <c r="B33" s="5" t="s">
        <v>65</v>
      </c>
      <c r="C33" s="3" t="s">
        <v>64</v>
      </c>
      <c r="D33" s="6">
        <v>2</v>
      </c>
      <c r="E33" s="3" t="s">
        <v>1</v>
      </c>
      <c r="F33" s="6">
        <v>1.66</v>
      </c>
      <c r="G33" s="3" t="s">
        <v>0</v>
      </c>
    </row>
    <row r="34" spans="1:8" x14ac:dyDescent="0.25">
      <c r="A34" s="3">
        <v>31</v>
      </c>
      <c r="B34" s="5" t="s">
        <v>61</v>
      </c>
      <c r="C34" s="3" t="s">
        <v>52</v>
      </c>
      <c r="D34" s="6">
        <v>2</v>
      </c>
      <c r="E34" s="3" t="s">
        <v>1</v>
      </c>
      <c r="F34" s="6">
        <v>2.2999999999999998</v>
      </c>
      <c r="G34" s="3" t="s">
        <v>53</v>
      </c>
    </row>
    <row r="35" spans="1:8" x14ac:dyDescent="0.25">
      <c r="A35" s="3">
        <v>32</v>
      </c>
      <c r="B35" s="5" t="s">
        <v>22</v>
      </c>
      <c r="C35" s="3" t="s">
        <v>52</v>
      </c>
      <c r="D35" s="6">
        <v>2</v>
      </c>
      <c r="E35" s="3" t="s">
        <v>1</v>
      </c>
      <c r="F35" s="6">
        <v>1.58</v>
      </c>
      <c r="G35" s="3" t="s">
        <v>0</v>
      </c>
    </row>
    <row r="36" spans="1:8" x14ac:dyDescent="0.25">
      <c r="A36" s="3">
        <v>33</v>
      </c>
      <c r="B36" s="4" t="s">
        <v>22</v>
      </c>
      <c r="C36" s="3" t="s">
        <v>13</v>
      </c>
      <c r="D36" s="6">
        <v>3</v>
      </c>
      <c r="E36" s="3" t="s">
        <v>1</v>
      </c>
      <c r="F36" s="6">
        <v>1.77</v>
      </c>
      <c r="G36" s="3" t="s">
        <v>0</v>
      </c>
      <c r="H36" s="1"/>
    </row>
    <row r="37" spans="1:8" x14ac:dyDescent="0.25">
      <c r="A37" s="3">
        <v>34</v>
      </c>
      <c r="B37" s="5" t="s">
        <v>22</v>
      </c>
      <c r="C37" s="3" t="s">
        <v>54</v>
      </c>
      <c r="D37" s="6">
        <v>3</v>
      </c>
      <c r="E37" s="3" t="s">
        <v>1</v>
      </c>
      <c r="F37" s="6">
        <v>0.75</v>
      </c>
      <c r="G37" s="3" t="s">
        <v>0</v>
      </c>
    </row>
    <row r="38" spans="1:8" s="2" customFormat="1" x14ac:dyDescent="0.25">
      <c r="A38" s="3">
        <v>35</v>
      </c>
      <c r="B38" s="5" t="s">
        <v>22</v>
      </c>
      <c r="C38" s="3" t="s">
        <v>55</v>
      </c>
      <c r="D38" s="6">
        <v>2</v>
      </c>
      <c r="E38" s="3" t="s">
        <v>1</v>
      </c>
      <c r="F38" s="6">
        <v>0.77</v>
      </c>
      <c r="G38" s="3" t="s">
        <v>0</v>
      </c>
    </row>
    <row r="39" spans="1:8" x14ac:dyDescent="0.25">
      <c r="A39" s="3">
        <v>36</v>
      </c>
      <c r="B39" s="5" t="s">
        <v>22</v>
      </c>
      <c r="C39" s="3" t="s">
        <v>12</v>
      </c>
      <c r="D39" s="6">
        <v>6</v>
      </c>
      <c r="E39" s="3" t="s">
        <v>1</v>
      </c>
      <c r="F39" s="6">
        <v>1.84</v>
      </c>
      <c r="G39" s="3" t="s">
        <v>0</v>
      </c>
    </row>
    <row r="40" spans="1:8" x14ac:dyDescent="0.25">
      <c r="A40" s="3">
        <v>37</v>
      </c>
      <c r="B40" s="8" t="s">
        <v>22</v>
      </c>
      <c r="C40" s="7" t="s">
        <v>37</v>
      </c>
      <c r="D40" s="6">
        <v>6</v>
      </c>
      <c r="E40" s="7" t="s">
        <v>1</v>
      </c>
      <c r="F40" s="9">
        <v>1.56</v>
      </c>
      <c r="G40" s="7" t="s">
        <v>0</v>
      </c>
    </row>
    <row r="41" spans="1:8" x14ac:dyDescent="0.25">
      <c r="A41" s="3">
        <v>38</v>
      </c>
      <c r="B41" s="4" t="s">
        <v>22</v>
      </c>
      <c r="C41" s="3" t="s">
        <v>15</v>
      </c>
      <c r="D41" s="6">
        <v>14</v>
      </c>
      <c r="E41" s="3" t="s">
        <v>1</v>
      </c>
      <c r="F41" s="6">
        <v>2.4700000000000002</v>
      </c>
      <c r="G41" s="3" t="s">
        <v>0</v>
      </c>
      <c r="H41" s="1"/>
    </row>
    <row r="42" spans="1:8" x14ac:dyDescent="0.25">
      <c r="A42" s="3">
        <v>39</v>
      </c>
      <c r="B42" s="4" t="s">
        <v>22</v>
      </c>
      <c r="C42" s="3" t="s">
        <v>16</v>
      </c>
      <c r="D42" s="6">
        <v>7</v>
      </c>
      <c r="E42" s="3" t="s">
        <v>1</v>
      </c>
      <c r="F42" s="6">
        <v>0.82</v>
      </c>
      <c r="G42" s="3" t="s">
        <v>0</v>
      </c>
      <c r="H42" s="1"/>
    </row>
    <row r="43" spans="1:8" x14ac:dyDescent="0.25">
      <c r="A43" s="3">
        <v>40</v>
      </c>
      <c r="B43" s="4" t="s">
        <v>22</v>
      </c>
      <c r="C43" s="3" t="s">
        <v>17</v>
      </c>
      <c r="D43" s="6">
        <v>13</v>
      </c>
      <c r="E43" s="3" t="s">
        <v>1</v>
      </c>
      <c r="F43" s="6">
        <v>1.05</v>
      </c>
      <c r="G43" s="3" t="s">
        <v>0</v>
      </c>
      <c r="H43" s="1"/>
    </row>
    <row r="44" spans="1:8" x14ac:dyDescent="0.25">
      <c r="A44" s="3">
        <v>41</v>
      </c>
      <c r="B44" s="8" t="s">
        <v>8</v>
      </c>
      <c r="C44" s="7" t="s">
        <v>82</v>
      </c>
      <c r="D44" s="9">
        <v>2</v>
      </c>
      <c r="E44" s="7" t="s">
        <v>1</v>
      </c>
      <c r="F44" s="9">
        <v>0.35</v>
      </c>
      <c r="G44" s="7" t="s">
        <v>83</v>
      </c>
    </row>
    <row r="45" spans="1:8" x14ac:dyDescent="0.25">
      <c r="A45" s="3">
        <v>42</v>
      </c>
      <c r="B45" s="8" t="s">
        <v>8</v>
      </c>
      <c r="C45" s="7" t="s">
        <v>42</v>
      </c>
      <c r="D45" s="6">
        <v>1</v>
      </c>
      <c r="E45" s="7" t="s">
        <v>1</v>
      </c>
      <c r="F45" s="9">
        <v>1</v>
      </c>
      <c r="G45" s="7" t="s">
        <v>43</v>
      </c>
    </row>
    <row r="46" spans="1:8" x14ac:dyDescent="0.25">
      <c r="A46" s="3">
        <v>43</v>
      </c>
      <c r="B46" s="8" t="s">
        <v>8</v>
      </c>
      <c r="C46" s="7" t="s">
        <v>44</v>
      </c>
      <c r="D46" s="6">
        <v>1</v>
      </c>
      <c r="E46" s="7" t="s">
        <v>1</v>
      </c>
      <c r="F46" s="9">
        <v>0.9</v>
      </c>
      <c r="G46" s="7" t="s">
        <v>45</v>
      </c>
    </row>
    <row r="47" spans="1:8" x14ac:dyDescent="0.25">
      <c r="A47" s="3">
        <v>44</v>
      </c>
      <c r="B47" s="4" t="s">
        <v>8</v>
      </c>
      <c r="C47" s="3" t="s">
        <v>9</v>
      </c>
      <c r="D47" s="6">
        <v>1</v>
      </c>
      <c r="E47" s="3" t="s">
        <v>1</v>
      </c>
      <c r="F47" s="6">
        <v>0.8</v>
      </c>
      <c r="G47" s="3" t="s">
        <v>10</v>
      </c>
      <c r="H47" s="1"/>
    </row>
    <row r="48" spans="1:8" x14ac:dyDescent="0.25">
      <c r="A48" s="3">
        <v>45</v>
      </c>
      <c r="B48" s="8" t="s">
        <v>8</v>
      </c>
      <c r="C48" s="7" t="s">
        <v>46</v>
      </c>
      <c r="D48" s="6">
        <v>1</v>
      </c>
      <c r="E48" s="7" t="s">
        <v>1</v>
      </c>
      <c r="F48" s="9">
        <v>0.77</v>
      </c>
      <c r="G48" s="7" t="s">
        <v>0</v>
      </c>
    </row>
    <row r="49" spans="1:8" x14ac:dyDescent="0.25">
      <c r="A49" s="3">
        <v>46</v>
      </c>
      <c r="B49" s="4" t="s">
        <v>23</v>
      </c>
      <c r="C49" s="3" t="s">
        <v>18</v>
      </c>
      <c r="D49" s="6">
        <v>2</v>
      </c>
      <c r="E49" s="3" t="s">
        <v>1</v>
      </c>
      <c r="F49" s="6">
        <v>1.07</v>
      </c>
      <c r="G49" s="3" t="s">
        <v>0</v>
      </c>
      <c r="H49" s="1"/>
    </row>
    <row r="50" spans="1:8" s="2" customFormat="1" x14ac:dyDescent="0.25">
      <c r="A50" s="3">
        <v>47</v>
      </c>
      <c r="B50" s="5" t="s">
        <v>8</v>
      </c>
      <c r="C50" s="3" t="s">
        <v>66</v>
      </c>
      <c r="D50" s="6">
        <v>1</v>
      </c>
      <c r="E50" s="3" t="s">
        <v>1</v>
      </c>
      <c r="F50" s="3">
        <v>0.68</v>
      </c>
      <c r="G50" s="3" t="s">
        <v>0</v>
      </c>
    </row>
    <row r="51" spans="1:8" x14ac:dyDescent="0.25">
      <c r="A51" s="3">
        <v>48</v>
      </c>
      <c r="B51" s="5" t="s">
        <v>8</v>
      </c>
      <c r="C51" s="3" t="s">
        <v>93</v>
      </c>
      <c r="D51" s="6">
        <v>1</v>
      </c>
      <c r="E51" s="3" t="s">
        <v>1</v>
      </c>
      <c r="F51" s="6">
        <v>0.6</v>
      </c>
      <c r="G51" s="3" t="s">
        <v>0</v>
      </c>
    </row>
    <row r="52" spans="1:8" s="2" customFormat="1" x14ac:dyDescent="0.25">
      <c r="A52" s="3">
        <v>49</v>
      </c>
      <c r="B52" s="5" t="s">
        <v>8</v>
      </c>
      <c r="C52" s="3" t="s">
        <v>69</v>
      </c>
      <c r="D52" s="6">
        <v>1</v>
      </c>
      <c r="E52" s="3" t="s">
        <v>1</v>
      </c>
      <c r="F52" s="3">
        <v>0.5</v>
      </c>
      <c r="G52" s="3" t="s">
        <v>0</v>
      </c>
    </row>
    <row r="53" spans="1:8" s="2" customFormat="1" x14ac:dyDescent="0.25">
      <c r="A53" s="3">
        <v>50</v>
      </c>
      <c r="B53" s="5" t="s">
        <v>8</v>
      </c>
      <c r="C53" s="3" t="s">
        <v>57</v>
      </c>
      <c r="D53" s="6">
        <v>1</v>
      </c>
      <c r="E53" s="3" t="s">
        <v>1</v>
      </c>
      <c r="F53" s="6">
        <v>0.62</v>
      </c>
      <c r="G53" s="3" t="s">
        <v>58</v>
      </c>
    </row>
    <row r="54" spans="1:8" s="2" customFormat="1" x14ac:dyDescent="0.25">
      <c r="A54" s="3">
        <v>51</v>
      </c>
      <c r="B54" s="5" t="s">
        <v>23</v>
      </c>
      <c r="C54" s="3" t="s">
        <v>92</v>
      </c>
      <c r="D54" s="6">
        <v>2</v>
      </c>
      <c r="E54" s="3" t="s">
        <v>1</v>
      </c>
      <c r="F54" s="6">
        <v>1.1000000000000001</v>
      </c>
      <c r="G54" s="3" t="s">
        <v>56</v>
      </c>
    </row>
    <row r="55" spans="1:8" s="2" customFormat="1" x14ac:dyDescent="0.25">
      <c r="A55" s="3">
        <v>52</v>
      </c>
      <c r="B55" s="5" t="s">
        <v>8</v>
      </c>
      <c r="C55" s="3" t="s">
        <v>91</v>
      </c>
      <c r="D55" s="6">
        <v>1</v>
      </c>
      <c r="E55" s="3" t="s">
        <v>1</v>
      </c>
      <c r="F55" s="6">
        <v>0.56999999999999995</v>
      </c>
      <c r="G55" s="3" t="s">
        <v>0</v>
      </c>
    </row>
    <row r="56" spans="1:8" s="2" customFormat="1" x14ac:dyDescent="0.25">
      <c r="A56" s="3">
        <v>53</v>
      </c>
      <c r="B56" s="5" t="s">
        <v>8</v>
      </c>
      <c r="C56" s="3" t="s">
        <v>114</v>
      </c>
      <c r="D56" s="6">
        <v>1</v>
      </c>
      <c r="E56" s="3" t="s">
        <v>1</v>
      </c>
      <c r="F56" s="6">
        <v>0.52</v>
      </c>
      <c r="G56" s="3" t="s">
        <v>0</v>
      </c>
    </row>
    <row r="57" spans="1:8" x14ac:dyDescent="0.25">
      <c r="A57" s="3">
        <v>54</v>
      </c>
      <c r="B57" s="4" t="s">
        <v>23</v>
      </c>
      <c r="C57" s="3" t="s">
        <v>19</v>
      </c>
      <c r="D57" s="6">
        <v>1</v>
      </c>
      <c r="E57" s="3" t="s">
        <v>1</v>
      </c>
      <c r="F57" s="6">
        <v>0.5</v>
      </c>
      <c r="G57" s="4" t="s">
        <v>0</v>
      </c>
    </row>
    <row r="58" spans="1:8" s="2" customFormat="1" x14ac:dyDescent="0.25">
      <c r="A58" s="3">
        <v>55</v>
      </c>
      <c r="B58" s="5" t="s">
        <v>8</v>
      </c>
      <c r="C58" s="3" t="s">
        <v>115</v>
      </c>
      <c r="D58" s="6">
        <v>1</v>
      </c>
      <c r="E58" s="3" t="s">
        <v>1</v>
      </c>
      <c r="F58" s="6">
        <v>0.4</v>
      </c>
      <c r="G58" s="3" t="s">
        <v>0</v>
      </c>
    </row>
    <row r="59" spans="1:8" s="2" customFormat="1" x14ac:dyDescent="0.25">
      <c r="A59" s="3">
        <v>56</v>
      </c>
      <c r="B59" s="5" t="s">
        <v>8</v>
      </c>
      <c r="C59" s="3" t="s">
        <v>70</v>
      </c>
      <c r="D59" s="6">
        <v>1</v>
      </c>
      <c r="E59" s="3" t="s">
        <v>1</v>
      </c>
      <c r="F59" s="3">
        <v>0.68</v>
      </c>
      <c r="G59" s="3" t="s">
        <v>0</v>
      </c>
    </row>
    <row r="60" spans="1:8" x14ac:dyDescent="0.25">
      <c r="A60" s="3">
        <v>57</v>
      </c>
      <c r="B60" s="5" t="s">
        <v>23</v>
      </c>
      <c r="C60" s="3" t="s">
        <v>73</v>
      </c>
      <c r="D60" s="6">
        <v>1</v>
      </c>
      <c r="E60" s="3" t="s">
        <v>1</v>
      </c>
      <c r="F60" s="6">
        <v>0.2</v>
      </c>
      <c r="G60" s="3" t="s">
        <v>0</v>
      </c>
    </row>
    <row r="61" spans="1:8" s="2" customFormat="1" x14ac:dyDescent="0.25">
      <c r="A61" s="3">
        <v>58</v>
      </c>
      <c r="B61" s="5" t="s">
        <v>23</v>
      </c>
      <c r="C61" s="3" t="s">
        <v>28</v>
      </c>
      <c r="D61" s="6">
        <v>1</v>
      </c>
      <c r="E61" s="3" t="s">
        <v>1</v>
      </c>
      <c r="F61" s="6">
        <v>0.2</v>
      </c>
      <c r="G61" s="3" t="s">
        <v>0</v>
      </c>
    </row>
    <row r="62" spans="1:8" x14ac:dyDescent="0.25">
      <c r="A62" s="3">
        <v>59</v>
      </c>
      <c r="B62" s="5" t="s">
        <v>23</v>
      </c>
      <c r="C62" s="3" t="s">
        <v>74</v>
      </c>
      <c r="D62" s="6">
        <v>1</v>
      </c>
      <c r="E62" s="3" t="s">
        <v>1</v>
      </c>
      <c r="F62" s="6">
        <v>0.18</v>
      </c>
      <c r="G62" s="3" t="s">
        <v>0</v>
      </c>
    </row>
    <row r="63" spans="1:8" x14ac:dyDescent="0.25">
      <c r="A63" s="3">
        <v>60</v>
      </c>
      <c r="B63" s="5" t="s">
        <v>23</v>
      </c>
      <c r="C63" s="3" t="s">
        <v>75</v>
      </c>
      <c r="D63" s="6">
        <v>1</v>
      </c>
      <c r="E63" s="3" t="s">
        <v>1</v>
      </c>
      <c r="F63" s="6">
        <v>0.16</v>
      </c>
      <c r="G63" s="3" t="s">
        <v>0</v>
      </c>
    </row>
    <row r="64" spans="1:8" x14ac:dyDescent="0.25">
      <c r="A64" s="3">
        <v>61</v>
      </c>
      <c r="B64" s="5" t="s">
        <v>23</v>
      </c>
      <c r="C64" s="3" t="s">
        <v>94</v>
      </c>
      <c r="D64" s="6">
        <v>1</v>
      </c>
      <c r="E64" s="3" t="s">
        <v>1</v>
      </c>
      <c r="F64" s="6">
        <v>0.17</v>
      </c>
      <c r="G64" s="3" t="s">
        <v>0</v>
      </c>
    </row>
    <row r="65" spans="1:7" s="2" customFormat="1" x14ac:dyDescent="0.25">
      <c r="A65" s="3">
        <v>62</v>
      </c>
      <c r="B65" s="5" t="s">
        <v>23</v>
      </c>
      <c r="C65" s="3" t="s">
        <v>29</v>
      </c>
      <c r="D65" s="6">
        <v>1</v>
      </c>
      <c r="E65" s="3" t="s">
        <v>1</v>
      </c>
      <c r="F65" s="6">
        <v>0.15</v>
      </c>
      <c r="G65" s="3" t="s">
        <v>0</v>
      </c>
    </row>
    <row r="66" spans="1:7" s="2" customFormat="1" x14ac:dyDescent="0.25">
      <c r="A66" s="3">
        <v>63</v>
      </c>
      <c r="B66" s="5" t="s">
        <v>23</v>
      </c>
      <c r="C66" s="3" t="s">
        <v>30</v>
      </c>
      <c r="D66" s="6">
        <v>2</v>
      </c>
      <c r="E66" s="3" t="s">
        <v>1</v>
      </c>
      <c r="F66" s="6">
        <v>0.28000000000000003</v>
      </c>
      <c r="G66" s="3" t="s">
        <v>0</v>
      </c>
    </row>
    <row r="67" spans="1:7" x14ac:dyDescent="0.25">
      <c r="A67" s="3">
        <v>64</v>
      </c>
      <c r="B67" s="5" t="s">
        <v>23</v>
      </c>
      <c r="C67" s="3" t="s">
        <v>76</v>
      </c>
      <c r="D67" s="6">
        <v>2</v>
      </c>
      <c r="E67" s="3" t="s">
        <v>1</v>
      </c>
      <c r="F67" s="6">
        <v>0.24</v>
      </c>
      <c r="G67" s="3" t="s">
        <v>0</v>
      </c>
    </row>
    <row r="68" spans="1:7" x14ac:dyDescent="0.25">
      <c r="A68" s="3">
        <v>65</v>
      </c>
      <c r="B68" s="8" t="s">
        <v>47</v>
      </c>
      <c r="C68" s="7" t="s">
        <v>36</v>
      </c>
      <c r="D68" s="9">
        <v>1</v>
      </c>
      <c r="E68" s="7" t="s">
        <v>1</v>
      </c>
      <c r="F68" s="9">
        <v>0.45</v>
      </c>
      <c r="G68" s="7" t="s">
        <v>39</v>
      </c>
    </row>
    <row r="69" spans="1:7" x14ac:dyDescent="0.25">
      <c r="A69" s="3">
        <v>66</v>
      </c>
      <c r="B69" s="8" t="s">
        <v>48</v>
      </c>
      <c r="C69" s="7" t="s">
        <v>40</v>
      </c>
      <c r="D69" s="9">
        <v>2</v>
      </c>
      <c r="E69" s="7" t="s">
        <v>1</v>
      </c>
      <c r="F69" s="9">
        <v>2.2599999999999998</v>
      </c>
      <c r="G69" s="7" t="s">
        <v>41</v>
      </c>
    </row>
    <row r="70" spans="1:7" s="2" customFormat="1" x14ac:dyDescent="0.25">
      <c r="A70" s="3">
        <v>67</v>
      </c>
      <c r="B70" s="5" t="s">
        <v>31</v>
      </c>
      <c r="C70" s="3" t="s">
        <v>24</v>
      </c>
      <c r="D70" s="6">
        <v>3</v>
      </c>
      <c r="E70" s="3" t="s">
        <v>1</v>
      </c>
      <c r="F70" s="6">
        <v>2.7</v>
      </c>
      <c r="G70" s="3" t="s">
        <v>25</v>
      </c>
    </row>
    <row r="71" spans="1:7" s="2" customFormat="1" x14ac:dyDescent="0.25">
      <c r="A71" s="3">
        <v>68</v>
      </c>
      <c r="B71" s="5" t="s">
        <v>31</v>
      </c>
      <c r="C71" s="3" t="s">
        <v>26</v>
      </c>
      <c r="D71" s="6">
        <v>1</v>
      </c>
      <c r="E71" s="3" t="s">
        <v>1</v>
      </c>
      <c r="F71" s="6">
        <v>0.82</v>
      </c>
      <c r="G71" s="3" t="s">
        <v>27</v>
      </c>
    </row>
    <row r="72" spans="1:7" x14ac:dyDescent="0.25">
      <c r="A72" s="3">
        <v>69</v>
      </c>
      <c r="B72" s="8" t="s">
        <v>31</v>
      </c>
      <c r="C72" s="7" t="s">
        <v>26</v>
      </c>
      <c r="D72" s="9">
        <v>1</v>
      </c>
      <c r="E72" s="7" t="s">
        <v>1</v>
      </c>
      <c r="F72" s="9">
        <v>0.77</v>
      </c>
      <c r="G72" s="7" t="s">
        <v>84</v>
      </c>
    </row>
    <row r="73" spans="1:7" s="2" customFormat="1" x14ac:dyDescent="0.25">
      <c r="A73" s="3">
        <v>70</v>
      </c>
      <c r="B73" s="5" t="s">
        <v>122</v>
      </c>
      <c r="C73" s="3" t="s">
        <v>77</v>
      </c>
      <c r="D73" s="6">
        <v>1</v>
      </c>
      <c r="E73" s="3" t="s">
        <v>1</v>
      </c>
      <c r="F73" s="6">
        <v>0.15</v>
      </c>
      <c r="G73" s="3" t="s">
        <v>118</v>
      </c>
    </row>
    <row r="74" spans="1:7" x14ac:dyDescent="0.25">
      <c r="A74" s="3">
        <v>71</v>
      </c>
      <c r="B74" s="8" t="s">
        <v>121</v>
      </c>
      <c r="C74" s="7" t="s">
        <v>78</v>
      </c>
      <c r="D74" s="9">
        <v>6</v>
      </c>
      <c r="E74" s="7" t="s">
        <v>1</v>
      </c>
      <c r="F74" s="9">
        <v>0.9</v>
      </c>
      <c r="G74" s="7" t="s">
        <v>0</v>
      </c>
    </row>
    <row r="75" spans="1:7" s="2" customFormat="1" x14ac:dyDescent="0.25">
      <c r="A75" s="3">
        <v>72</v>
      </c>
      <c r="B75" s="5" t="s">
        <v>120</v>
      </c>
      <c r="C75" s="3" t="s">
        <v>95</v>
      </c>
      <c r="D75" s="6">
        <v>1</v>
      </c>
      <c r="E75" s="3" t="s">
        <v>1</v>
      </c>
      <c r="F75" s="6">
        <v>0.13</v>
      </c>
      <c r="G75" s="3" t="s">
        <v>0</v>
      </c>
    </row>
    <row r="76" spans="1:7" s="2" customFormat="1" x14ac:dyDescent="0.25">
      <c r="A76" s="3">
        <v>73</v>
      </c>
      <c r="B76" s="5" t="s">
        <v>120</v>
      </c>
      <c r="C76" s="3" t="s">
        <v>96</v>
      </c>
      <c r="D76" s="6">
        <v>5</v>
      </c>
      <c r="E76" s="3" t="s">
        <v>1</v>
      </c>
      <c r="F76" s="6">
        <v>0.59</v>
      </c>
      <c r="G76" s="3" t="s">
        <v>0</v>
      </c>
    </row>
    <row r="77" spans="1:7" s="2" customFormat="1" x14ac:dyDescent="0.25">
      <c r="A77" s="3">
        <v>74</v>
      </c>
      <c r="B77" s="5" t="s">
        <v>121</v>
      </c>
      <c r="C77" s="3" t="s">
        <v>86</v>
      </c>
      <c r="D77" s="6">
        <v>7</v>
      </c>
      <c r="E77" s="3" t="s">
        <v>1</v>
      </c>
      <c r="F77" s="3">
        <v>0.73</v>
      </c>
      <c r="G77" s="3" t="s">
        <v>0</v>
      </c>
    </row>
    <row r="78" spans="1:7" x14ac:dyDescent="0.25">
      <c r="A78" s="3">
        <v>75</v>
      </c>
      <c r="B78" s="8" t="s">
        <v>121</v>
      </c>
      <c r="C78" s="7" t="s">
        <v>81</v>
      </c>
      <c r="D78" s="9">
        <v>1</v>
      </c>
      <c r="E78" s="7" t="s">
        <v>1</v>
      </c>
      <c r="F78" s="9">
        <v>0.1</v>
      </c>
      <c r="G78" s="7" t="s">
        <v>0</v>
      </c>
    </row>
    <row r="79" spans="1:7" s="2" customFormat="1" x14ac:dyDescent="0.25">
      <c r="A79" s="3">
        <v>76</v>
      </c>
      <c r="B79" s="5" t="s">
        <v>123</v>
      </c>
      <c r="C79" s="3" t="s">
        <v>97</v>
      </c>
      <c r="D79" s="6">
        <v>1</v>
      </c>
      <c r="E79" s="3" t="s">
        <v>1</v>
      </c>
      <c r="F79" s="6">
        <v>0.08</v>
      </c>
      <c r="G79" s="3" t="s">
        <v>0</v>
      </c>
    </row>
    <row r="80" spans="1:7" s="2" customFormat="1" x14ac:dyDescent="0.25">
      <c r="A80" s="3">
        <v>77</v>
      </c>
      <c r="B80" s="5" t="s">
        <v>71</v>
      </c>
      <c r="C80" s="3" t="s">
        <v>116</v>
      </c>
      <c r="D80" s="6">
        <v>1</v>
      </c>
      <c r="E80" s="3" t="s">
        <v>1</v>
      </c>
      <c r="F80" s="6">
        <v>0.16</v>
      </c>
      <c r="G80" s="3" t="s">
        <v>0</v>
      </c>
    </row>
    <row r="81" spans="1:7" s="2" customFormat="1" x14ac:dyDescent="0.25">
      <c r="A81" s="3">
        <v>78</v>
      </c>
      <c r="B81" s="5" t="s">
        <v>71</v>
      </c>
      <c r="C81" s="3" t="s">
        <v>87</v>
      </c>
      <c r="D81" s="6">
        <v>1</v>
      </c>
      <c r="E81" s="3" t="s">
        <v>1</v>
      </c>
      <c r="F81" s="3">
        <v>0.14000000000000001</v>
      </c>
      <c r="G81" s="3" t="s">
        <v>0</v>
      </c>
    </row>
    <row r="82" spans="1:7" s="2" customFormat="1" x14ac:dyDescent="0.25">
      <c r="A82" s="3">
        <v>79</v>
      </c>
      <c r="B82" s="5" t="s">
        <v>32</v>
      </c>
      <c r="C82" s="3" t="s">
        <v>79</v>
      </c>
      <c r="D82" s="6">
        <v>1</v>
      </c>
      <c r="E82" s="3" t="s">
        <v>1</v>
      </c>
      <c r="F82" s="6">
        <v>0.1</v>
      </c>
      <c r="G82" s="3" t="s">
        <v>0</v>
      </c>
    </row>
    <row r="83" spans="1:7" x14ac:dyDescent="0.25">
      <c r="A83" s="3">
        <v>80</v>
      </c>
      <c r="B83" s="5" t="s">
        <v>32</v>
      </c>
      <c r="C83" s="3" t="s">
        <v>99</v>
      </c>
      <c r="D83" s="6">
        <v>2</v>
      </c>
      <c r="E83" s="3" t="s">
        <v>1</v>
      </c>
      <c r="F83" s="6">
        <v>0.12</v>
      </c>
      <c r="G83" s="3" t="s">
        <v>100</v>
      </c>
    </row>
    <row r="84" spans="1:7" s="2" customFormat="1" x14ac:dyDescent="0.25">
      <c r="A84" s="3">
        <v>81</v>
      </c>
      <c r="B84" s="5" t="s">
        <v>32</v>
      </c>
      <c r="C84" s="3" t="s">
        <v>98</v>
      </c>
      <c r="D84" s="6">
        <v>4</v>
      </c>
      <c r="E84" s="3" t="s">
        <v>1</v>
      </c>
      <c r="F84" s="6">
        <v>0.24</v>
      </c>
      <c r="G84" s="3" t="s">
        <v>100</v>
      </c>
    </row>
    <row r="85" spans="1:7" s="2" customFormat="1" x14ac:dyDescent="0.25">
      <c r="A85" s="3">
        <v>82</v>
      </c>
      <c r="B85" s="5" t="s">
        <v>32</v>
      </c>
      <c r="C85" s="3" t="s">
        <v>80</v>
      </c>
      <c r="D85" s="6">
        <v>2</v>
      </c>
      <c r="E85" s="3" t="s">
        <v>1</v>
      </c>
      <c r="F85" s="6">
        <v>0.13</v>
      </c>
      <c r="G85" s="3" t="s">
        <v>0</v>
      </c>
    </row>
    <row r="86" spans="1:7" x14ac:dyDescent="0.25">
      <c r="A86" s="3">
        <v>83</v>
      </c>
      <c r="B86" s="5" t="s">
        <v>72</v>
      </c>
      <c r="C86" s="3" t="s">
        <v>12</v>
      </c>
      <c r="D86" s="6">
        <v>1</v>
      </c>
      <c r="E86" s="3" t="s">
        <v>1</v>
      </c>
      <c r="F86" s="6">
        <v>0.34</v>
      </c>
      <c r="G86" s="3" t="s">
        <v>0</v>
      </c>
    </row>
    <row r="87" spans="1:7" x14ac:dyDescent="0.25">
      <c r="A87" s="3">
        <v>84</v>
      </c>
      <c r="B87" s="8" t="s">
        <v>49</v>
      </c>
      <c r="C87" s="7" t="s">
        <v>37</v>
      </c>
      <c r="D87" s="9">
        <v>2</v>
      </c>
      <c r="E87" s="7" t="s">
        <v>1</v>
      </c>
      <c r="F87" s="9">
        <v>0.6</v>
      </c>
      <c r="G87" s="7" t="s">
        <v>0</v>
      </c>
    </row>
    <row r="88" spans="1:7" s="2" customFormat="1" x14ac:dyDescent="0.25">
      <c r="A88" s="3">
        <v>85</v>
      </c>
      <c r="B88" s="5" t="s">
        <v>119</v>
      </c>
      <c r="C88" s="3" t="s">
        <v>59</v>
      </c>
      <c r="D88" s="17">
        <v>1</v>
      </c>
      <c r="E88" s="3" t="s">
        <v>1</v>
      </c>
      <c r="F88" s="3" t="s">
        <v>0</v>
      </c>
      <c r="G88" s="3" t="s">
        <v>85</v>
      </c>
    </row>
    <row r="89" spans="1:7" s="2" customFormat="1" x14ac:dyDescent="0.25">
      <c r="A89" s="3">
        <v>86</v>
      </c>
      <c r="B89" s="5" t="s">
        <v>119</v>
      </c>
      <c r="C89" s="3" t="s">
        <v>60</v>
      </c>
      <c r="D89" s="17">
        <v>2</v>
      </c>
      <c r="E89" s="3" t="s">
        <v>1</v>
      </c>
      <c r="F89" s="3" t="s">
        <v>0</v>
      </c>
      <c r="G89" s="3" t="s">
        <v>85</v>
      </c>
    </row>
    <row r="90" spans="1:7" s="2" customFormat="1" x14ac:dyDescent="0.25">
      <c r="A90" s="3">
        <v>87</v>
      </c>
      <c r="B90" s="5" t="s">
        <v>119</v>
      </c>
      <c r="C90" s="3" t="s">
        <v>67</v>
      </c>
      <c r="D90" s="17">
        <v>2</v>
      </c>
      <c r="E90" s="3" t="s">
        <v>1</v>
      </c>
      <c r="F90" s="3" t="s">
        <v>0</v>
      </c>
      <c r="G90" s="3" t="s">
        <v>117</v>
      </c>
    </row>
    <row r="91" spans="1:7" s="2" customFormat="1" x14ac:dyDescent="0.25">
      <c r="A91" s="3">
        <v>88</v>
      </c>
      <c r="B91" s="5" t="s">
        <v>119</v>
      </c>
      <c r="C91" s="3" t="s">
        <v>68</v>
      </c>
      <c r="D91" s="17">
        <v>1</v>
      </c>
      <c r="E91" s="3" t="s">
        <v>1</v>
      </c>
      <c r="F91" s="3" t="s">
        <v>0</v>
      </c>
      <c r="G91" s="3" t="s">
        <v>0</v>
      </c>
    </row>
    <row r="92" spans="1:7" s="2" customFormat="1" x14ac:dyDescent="0.25">
      <c r="A92" s="3"/>
      <c r="B92" s="5"/>
      <c r="C92" s="3"/>
      <c r="D92" s="17"/>
      <c r="E92" s="3"/>
      <c r="F92" s="3"/>
      <c r="G92" s="3"/>
    </row>
    <row r="93" spans="1:7" x14ac:dyDescent="0.25">
      <c r="A93" s="11">
        <v>89</v>
      </c>
      <c r="B93" s="12" t="s">
        <v>101</v>
      </c>
      <c r="C93" s="11" t="s">
        <v>124</v>
      </c>
      <c r="D93" s="13">
        <v>9</v>
      </c>
      <c r="E93" s="11" t="s">
        <v>1</v>
      </c>
      <c r="F93" s="14">
        <v>10</v>
      </c>
      <c r="G93" s="11" t="s">
        <v>90</v>
      </c>
    </row>
    <row r="95" spans="1:7" ht="18.75" x14ac:dyDescent="0.3">
      <c r="C95" s="18" t="s">
        <v>109</v>
      </c>
      <c r="D95" s="18"/>
      <c r="E95" s="18"/>
      <c r="F95" s="16">
        <f>F87+F86+F85+F84+F83+F82+F81+F80+F79+F78+F77+F76+F75+F74+F73+F72+F71+F70+F67+F66+F65+F64+F63+F62+F61+F60+F57+F54+F49+F43+F42+F41+F40+F39+F38+F37+F36+F35+F34+F31+F26+F25+F24+F23+F22+F21+F17+F20+F15+F13+F9</f>
        <v>83.560000000000016</v>
      </c>
    </row>
    <row r="96" spans="1:7" ht="18.75" x14ac:dyDescent="0.3">
      <c r="C96" s="18" t="s">
        <v>110</v>
      </c>
      <c r="D96" s="18"/>
      <c r="E96" s="18"/>
      <c r="F96" s="15">
        <f>F69+F68+F59+F58+F56+F53+F52+F51+F50+F48+F47+F46+F45+F44+F33+F32+F30+F29+F28+F27++F19+F18+F16+F14+F12+F11+F10+F8+F7+F6</f>
        <v>82.75</v>
      </c>
    </row>
  </sheetData>
  <mergeCells count="3">
    <mergeCell ref="C95:E95"/>
    <mergeCell ref="C96:E96"/>
    <mergeCell ref="A1:G1"/>
  </mergeCells>
  <pageMargins left="0.7" right="0.7" top="0.75" bottom="0.75" header="0.3" footer="0.3"/>
  <pageSetup paperSize="9" scale="5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Magomedov</dc:creator>
  <cp:lastModifiedBy>Arsen Magomedov</cp:lastModifiedBy>
  <cp:lastPrinted>2023-11-16T04:57:20Z</cp:lastPrinted>
  <dcterms:created xsi:type="dcterms:W3CDTF">2023-11-05T09:03:29Z</dcterms:created>
  <dcterms:modified xsi:type="dcterms:W3CDTF">2023-11-16T07:25:48Z</dcterms:modified>
</cp:coreProperties>
</file>