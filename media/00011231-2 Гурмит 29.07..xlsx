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G:\Проекты Магомеда\Нариман Гурмит\Проект\Вентиляция\Спецификации\Расчет площади воздуховодов для Хабиба\"/>
    </mc:Choice>
  </mc:AlternateContent>
  <xr:revisionPtr revIDLastSave="0" documentId="8_{097F9993-19EA-4942-B983-BBA7715F15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Print_Area" localSheetId="0">Лист1!$A$1:$G$73</definedName>
  </definedNames>
  <calcPr calcId="191029"/>
</workbook>
</file>

<file path=xl/calcChain.xml><?xml version="1.0" encoding="utf-8"?>
<calcChain xmlns="http://schemas.openxmlformats.org/spreadsheetml/2006/main">
  <c r="G75" i="1" l="1"/>
  <c r="G47" i="1"/>
  <c r="G73" i="1"/>
  <c r="G66" i="1"/>
</calcChain>
</file>

<file path=xl/sharedStrings.xml><?xml version="1.0" encoding="utf-8"?>
<sst xmlns="http://schemas.openxmlformats.org/spreadsheetml/2006/main" count="130" uniqueCount="74">
  <si>
    <t>Отгрузка товара до 17:30</t>
  </si>
  <si>
    <t>Пятница: выходной день</t>
  </si>
  <si>
    <t>email: sbs.company8989@mail.ru</t>
  </si>
  <si>
    <t>тел: 8-928-584-05-55</t>
  </si>
  <si>
    <t>Заказчик:</t>
  </si>
  <si>
    <t>Объект:</t>
  </si>
  <si>
    <t>Тел:</t>
  </si>
  <si>
    <t>Наименование</t>
  </si>
  <si>
    <t>Толщ.</t>
  </si>
  <si>
    <t>Кол.</t>
  </si>
  <si>
    <t>Ед.изм.</t>
  </si>
  <si>
    <t xml:space="preserve">Площ. </t>
  </si>
  <si>
    <t xml:space="preserve">Режим работы с 9:00 до 18:00 </t>
  </si>
  <si>
    <t>(перерыв с 13:00 до 14:00)</t>
  </si>
  <si>
    <r>
      <rPr>
        <b/>
        <sz val="16"/>
        <color theme="1"/>
        <rFont val="Times New Roman"/>
        <family val="1"/>
        <charset val="204"/>
      </rPr>
      <t>Внимание!!!</t>
    </r>
    <r>
      <rPr>
        <b/>
        <sz val="12"/>
        <color theme="1"/>
        <rFont val="Times New Roman"/>
        <family val="1"/>
        <charset val="204"/>
      </rPr>
      <t xml:space="preserve"> Фирма не несет ответственность за товар, оставленный на складе более 3-х дней!</t>
    </r>
  </si>
  <si>
    <t>шт</t>
  </si>
  <si>
    <t>Заказ  покупателя № _____ от 29   июля 2025 г.</t>
  </si>
  <si>
    <t>Нариман</t>
  </si>
  <si>
    <t>Ресторан "Гурмит"</t>
  </si>
  <si>
    <t>Воздуховод Ø500 L1250</t>
  </si>
  <si>
    <t>Воздуховод Ø500 L250</t>
  </si>
  <si>
    <t>Воздуховод Ø400 L1250</t>
  </si>
  <si>
    <t>Воздуховод Ø400 L750</t>
  </si>
  <si>
    <t>Воздуховод 400х300 L1250</t>
  </si>
  <si>
    <t>Воздуховод 400х300 L1000</t>
  </si>
  <si>
    <t>Воздуховод 400х300 L600</t>
  </si>
  <si>
    <t>Воздуховод Ø315 L1000</t>
  </si>
  <si>
    <t>Воздуховод Ø280 L1250</t>
  </si>
  <si>
    <t>Воздуховод Ø250 L1250</t>
  </si>
  <si>
    <t>Воздуховод Ø250 L750</t>
  </si>
  <si>
    <t>Воздуховод Ø200 L250</t>
  </si>
  <si>
    <t>Отвод 90° Ø400</t>
  </si>
  <si>
    <t>Отвод 90° Ø500</t>
  </si>
  <si>
    <t>Отвод 30° Ø400</t>
  </si>
  <si>
    <t>Отвод 30° Ø500</t>
  </si>
  <si>
    <t>Отвод 90° Ø315</t>
  </si>
  <si>
    <t>Отвод 60° Ø280</t>
  </si>
  <si>
    <t>Отвод 90° Ø250</t>
  </si>
  <si>
    <t>Отвод 90° Ø200</t>
  </si>
  <si>
    <t>Отвод 90° 400х300</t>
  </si>
  <si>
    <t>Отвод 90° 300х400</t>
  </si>
  <si>
    <t>Отвод 60° 300х400</t>
  </si>
  <si>
    <t>Переход концентр 400х300хØ315 L300</t>
  </si>
  <si>
    <t>Переход концентр Ø315хØ280 L200</t>
  </si>
  <si>
    <t>Переход концентр Ø280хØ250 L150</t>
  </si>
  <si>
    <t>Тройник Ø280хØ280хØ280</t>
  </si>
  <si>
    <t>Тройник Ø280хØ250хØ280</t>
  </si>
  <si>
    <t>Тройник Ø250хØ200хØ250</t>
  </si>
  <si>
    <t>Врезка Ø250 L100</t>
  </si>
  <si>
    <t>В5 (санузлы)</t>
  </si>
  <si>
    <t>В6 (санузел)</t>
  </si>
  <si>
    <t>Воздуховод Ø200 L1250</t>
  </si>
  <si>
    <t>Воздуховод Ø200 L500</t>
  </si>
  <si>
    <t>Воздуховод Ø160 L1250</t>
  </si>
  <si>
    <t>Воздуховод Ø160 L250</t>
  </si>
  <si>
    <t>Воздуховод Ø125 L1250</t>
  </si>
  <si>
    <t>Воздуховод Ø100 L1250</t>
  </si>
  <si>
    <t>Воздуховод Ø100 L200</t>
  </si>
  <si>
    <t xml:space="preserve">Отвод 90° Ø200 </t>
  </si>
  <si>
    <t xml:space="preserve">Отвод 30° Ø200 </t>
  </si>
  <si>
    <t>Отвод 90° Ø160</t>
  </si>
  <si>
    <t>Отвод 45° Ø160</t>
  </si>
  <si>
    <t xml:space="preserve">Отвод 90° Ø100 </t>
  </si>
  <si>
    <t xml:space="preserve">Отвод 45° Ø100 </t>
  </si>
  <si>
    <t xml:space="preserve">Отвод 35° Ø100 </t>
  </si>
  <si>
    <t xml:space="preserve">Тройник Ø160хØ100хØ160 </t>
  </si>
  <si>
    <t>Переход концентр Ø160хØ125 L150</t>
  </si>
  <si>
    <t>Переход концентр Ø125хØ100 L150</t>
  </si>
  <si>
    <t>Воздуховод Ø100 L1000</t>
  </si>
  <si>
    <t>Тройник Ø200хØ160хØ200</t>
  </si>
  <si>
    <t xml:space="preserve">Тройник Ø125хØ100хØ125 </t>
  </si>
  <si>
    <t>Переход концентр Ø200хØ160  L200</t>
  </si>
  <si>
    <t>В3 В4 В2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</si>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</sst>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charset val="204"/>
      <scheme val="minor"/>
    </font>
    <font>
      <b/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i/>
      <sz val="16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i/>
      <sz val="14"/>
      <color theme="4" tint="-0.249977111117893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b/>
      <sz val="16"/>
      <color rgb="FFFF0000"/>
      <name val="Times New Roman"/>
      <family val="1"/>
      <charset val="204"/>
    </font>
    <font>
      <b/>
      <sz val="14"/>
      <color theme="4" tint="-0.249977111117893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color rgb="FF00B05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419DCB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9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1" fillId="0" borderId="8" xfId="0" applyFont="1" applyBorder="1"/>
    <xf numFmtId="0" fontId="3" fillId="0" borderId="8" xfId="0" applyFont="1" applyBorder="1" applyAlignment="1">
      <alignment horizontal="left"/>
    </xf>
    <xf numFmtId="0" fontId="3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3" fillId="0" borderId="8" xfId="0" applyFont="1" applyBorder="1"/>
    <xf numFmtId="0" fontId="13" fillId="0" borderId="0" xfId="0" applyFont="1"/>
    <xf numFmtId="0" fontId="7" fillId="0" borderId="0" xfId="0" applyFont="1"/>
    <xf numFmtId="0" fontId="1" fillId="0" borderId="9" xfId="0" applyFont="1" applyBorder="1"/>
    <xf numFmtId="0" fontId="3" fillId="0" borderId="9" xfId="0" applyFont="1" applyBorder="1" applyAlignment="1">
      <alignment horizontal="left"/>
    </xf>
    <xf numFmtId="0" fontId="3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4" fillId="0" borderId="9" xfId="0" applyFont="1" applyBorder="1" applyAlignment="1">
      <alignment horizontal="left"/>
    </xf>
    <xf numFmtId="0" fontId="15" fillId="0" borderId="10" xfId="0" applyFont="1" applyBorder="1" applyAlignment="1">
      <alignment horizontal="left" vertical="top" wrapText="1"/>
    </xf>
    <xf numFmtId="0" fontId="15" fillId="0" borderId="1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17" fillId="0" borderId="1" xfId="0" applyFont="1" applyBorder="1" applyAlignment="1">
      <alignment horizontal="center" wrapText="1"/>
    </xf>
    <xf numFmtId="0" fontId="17" fillId="0" borderId="8" xfId="0" applyFont="1" applyBorder="1" applyAlignment="1">
      <alignment horizontal="center" wrapText="1"/>
    </xf>
    <xf numFmtId="0" fontId="15" fillId="0" borderId="9" xfId="0" applyFont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1" fillId="0" borderId="12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6" fillId="0" borderId="8" xfId="0" applyFont="1" applyBorder="1" applyAlignment="1">
      <alignment horizontal="left" vertical="top" wrapText="1"/>
    </xf>
    <xf numFmtId="0" fontId="3" fillId="3" borderId="8" xfId="0" applyFont="1" applyFill="1" applyBorder="1" applyAlignment="1">
      <alignment horizontal="center" wrapText="1"/>
    </xf>
    <xf numFmtId="0" fontId="3" fillId="0" borderId="0" xfId="0" applyFont="1" applyAlignment="1">
      <alignment horizontal="right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colors>
    <mruColors>
      <color rgb="FF0099CC"/>
      <color rgb="FF006699"/>
      <color rgb="FF2D7AF7"/>
      <color rgb="FF3C69E8"/>
      <color rgb="FF143CAC"/>
      <color rgb="FF1647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176893</xdr:colOff>
      <xdr:row>1</xdr:row>
      <xdr:rowOff>68036</xdr:rowOff>
    </xdr:from>
    <xdr:to>
      <xdr:col>2</xdr:col>
      <xdr:colOff>1877786</xdr:colOff>
      <xdr:row>5</xdr:row>
      <xdr:rowOff>54429</xdr:rowOff>
    </xdr:to>
    <xdr:pic>
      <xdr:nvPicPr>
        <xdr:cNvPr id="2" name="Изображение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679" y="312965"/>
          <a:ext cx="2367643" cy="96610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abSelected="1" topLeftCell="A49" zoomScale="85" zoomScaleNormal="85" workbookViewId="0">
      <selection activeCell="G76" sqref="G76"/>
    </sheetView>
  </sheetViews>
  <sheetFormatPr defaultColWidth="9" defaultRowHeight="15" x14ac:dyDescent="0.25"/>
  <cols>
    <col min="1" max="1" width="5.28515625" style="4" customWidth="1"/>
    <col min="2" max="2" width="10" style="5" customWidth="1"/>
    <col min="3" max="3" width="62.85546875" style="4" customWidth="1"/>
    <col min="4" max="4" width="8.140625" style="4" customWidth="1"/>
    <col min="5" max="5" width="6.28515625" style="5" customWidth="1"/>
    <col min="6" max="6" width="9.140625" style="5"/>
    <col min="7" max="7" width="9.7109375" style="5" customWidth="1"/>
    <col min="8" max="16383" width="9.140625" style="4"/>
    <col min="16384" max="16384" width="9" style="4"/>
  </cols>
  <sheetData>
    <row r="1" spans="1:7" ht="18.75" x14ac:dyDescent="0.3">
      <c r="A1" s="41"/>
      <c r="B1" s="41"/>
      <c r="C1" s="42" t="s">
        <v>12</v>
      </c>
      <c r="D1" s="42"/>
      <c r="E1" s="42"/>
      <c r="F1" s="42"/>
      <c r="G1" s="42"/>
    </row>
    <row r="2" spans="1:7" ht="18.75" x14ac:dyDescent="0.3">
      <c r="A2" s="41"/>
      <c r="B2" s="41"/>
      <c r="C2" s="43" t="s">
        <v>13</v>
      </c>
      <c r="D2" s="43"/>
      <c r="E2" s="43"/>
      <c r="F2" s="43"/>
      <c r="G2" s="43"/>
    </row>
    <row r="3" spans="1:7" s="1" customFormat="1" ht="18.75" x14ac:dyDescent="0.3">
      <c r="A3" s="41"/>
      <c r="B3" s="41"/>
      <c r="C3" s="42" t="s">
        <v>0</v>
      </c>
      <c r="D3" s="42"/>
      <c r="E3" s="42"/>
      <c r="F3" s="42"/>
      <c r="G3" s="42"/>
    </row>
    <row r="4" spans="1:7" s="2" customFormat="1" ht="18.75" x14ac:dyDescent="0.3">
      <c r="A4" s="41"/>
      <c r="B4" s="41"/>
      <c r="C4" s="43" t="s">
        <v>1</v>
      </c>
      <c r="D4" s="43"/>
      <c r="E4" s="43"/>
      <c r="F4" s="43"/>
      <c r="G4" s="43"/>
    </row>
    <row r="5" spans="1:7" s="1" customFormat="1" ht="19.5" x14ac:dyDescent="0.35">
      <c r="A5" s="41"/>
      <c r="B5" s="41"/>
      <c r="C5" s="44" t="s">
        <v>2</v>
      </c>
      <c r="D5" s="44"/>
      <c r="E5" s="44"/>
      <c r="F5" s="44"/>
      <c r="G5" s="44"/>
    </row>
    <row r="6" spans="1:7" s="1" customFormat="1" ht="18.75" x14ac:dyDescent="0.3">
      <c r="A6" s="41"/>
      <c r="B6" s="41"/>
      <c r="C6" s="42" t="s">
        <v>3</v>
      </c>
      <c r="D6" s="42"/>
      <c r="E6" s="42"/>
      <c r="F6" s="42"/>
      <c r="G6" s="42"/>
    </row>
    <row r="7" spans="1:7" ht="20.25" x14ac:dyDescent="0.3">
      <c r="A7" s="41"/>
      <c r="B7" s="41"/>
      <c r="C7" s="6"/>
      <c r="D7" s="6"/>
      <c r="E7" s="7"/>
      <c r="F7" s="7"/>
      <c r="G7" s="7"/>
    </row>
    <row r="8" spans="1:7" s="3" customFormat="1" ht="20.25" x14ac:dyDescent="0.3">
      <c r="A8" s="6"/>
      <c r="B8" s="8"/>
      <c r="C8" s="9" t="s">
        <v>16</v>
      </c>
      <c r="D8" s="6"/>
      <c r="E8" s="7"/>
      <c r="F8" s="7"/>
      <c r="G8" s="7"/>
    </row>
    <row r="9" spans="1:7" ht="20.25" x14ac:dyDescent="0.3">
      <c r="A9" s="12"/>
      <c r="B9" s="13"/>
      <c r="C9" s="25"/>
      <c r="D9" s="6"/>
      <c r="E9" s="7"/>
      <c r="F9" s="7"/>
      <c r="G9" s="7"/>
    </row>
    <row r="10" spans="1:7" ht="21" x14ac:dyDescent="0.35">
      <c r="A10" s="40" t="s">
        <v>4</v>
      </c>
      <c r="B10" s="40"/>
      <c r="C10" s="26" t="s">
        <v>17</v>
      </c>
      <c r="D10" s="6"/>
      <c r="E10" s="7"/>
      <c r="F10" s="7"/>
      <c r="G10" s="7"/>
    </row>
    <row r="11" spans="1:7" ht="21" x14ac:dyDescent="0.35">
      <c r="A11" s="40" t="s">
        <v>5</v>
      </c>
      <c r="B11" s="40"/>
      <c r="C11" s="10" t="s">
        <v>18</v>
      </c>
      <c r="D11" s="6"/>
      <c r="E11" s="7"/>
      <c r="F11" s="7"/>
      <c r="G11" s="7"/>
    </row>
    <row r="12" spans="1:7" ht="21.75" thickBot="1" x14ac:dyDescent="0.4">
      <c r="A12" s="3"/>
      <c r="B12" s="14" t="s">
        <v>6</v>
      </c>
      <c r="C12" s="11"/>
      <c r="D12" s="6"/>
      <c r="E12" s="7"/>
      <c r="F12" s="7"/>
      <c r="G12" s="7"/>
    </row>
    <row r="13" spans="1:7" ht="20.25" customHeight="1" x14ac:dyDescent="0.25">
      <c r="A13" s="45" t="s">
        <v>14</v>
      </c>
      <c r="B13" s="46"/>
      <c r="C13" s="46"/>
      <c r="D13" s="46"/>
      <c r="E13" s="46"/>
      <c r="F13" s="46"/>
      <c r="G13" s="47"/>
    </row>
    <row r="14" spans="1:7" ht="21" customHeight="1" thickBot="1" x14ac:dyDescent="0.3">
      <c r="A14" s="48"/>
      <c r="B14" s="49"/>
      <c r="C14" s="49"/>
      <c r="D14" s="49"/>
      <c r="E14" s="49"/>
      <c r="F14" s="49"/>
      <c r="G14" s="50"/>
    </row>
    <row r="15" spans="1:7" s="1" customFormat="1" ht="15.75" x14ac:dyDescent="0.25">
      <c r="A15" s="16"/>
      <c r="B15" s="15"/>
      <c r="C15" s="15" t="s">
        <v>7</v>
      </c>
      <c r="D15" s="15" t="s">
        <v>8</v>
      </c>
      <c r="E15" s="15" t="s">
        <v>9</v>
      </c>
      <c r="F15" s="15" t="s">
        <v>10</v>
      </c>
      <c r="G15" s="17" t="s">
        <v>11</v>
      </c>
    </row>
    <row r="16" spans="1:7" s="1" customFormat="1" ht="15.75" x14ac:dyDescent="0.25">
      <c r="A16" s="16"/>
      <c r="B16" s="15"/>
      <c r="C16" s="34" t="s">
        <v>72</v>
      </c>
      <c r="D16" s="15"/>
      <c r="E16" s="15"/>
      <c r="F16" s="15"/>
      <c r="G16" s="17"/>
    </row>
    <row r="17" spans="1:7" s="1" customFormat="1" ht="18.75" x14ac:dyDescent="0.3">
      <c r="A17" s="16"/>
      <c r="B17" s="15">
        <v>1</v>
      </c>
      <c r="C17" s="21" t="s">
        <v>19</v>
      </c>
      <c r="D17" s="22">
        <v>0.7</v>
      </c>
      <c r="E17" s="22">
        <v>3</v>
      </c>
      <c r="F17" s="15" t="s">
        <v>15</v>
      </c>
      <c r="G17" s="35">
        <v>5.89</v>
      </c>
    </row>
    <row r="18" spans="1:7" s="1" customFormat="1" ht="18.75" x14ac:dyDescent="0.3">
      <c r="A18" s="16"/>
      <c r="B18" s="15">
        <v>2</v>
      </c>
      <c r="C18" s="21" t="s">
        <v>20</v>
      </c>
      <c r="D18" s="22">
        <v>0.7</v>
      </c>
      <c r="E18" s="22">
        <v>1</v>
      </c>
      <c r="F18" s="15" t="s">
        <v>15</v>
      </c>
      <c r="G18" s="35">
        <v>0.39</v>
      </c>
    </row>
    <row r="19" spans="1:7" s="1" customFormat="1" ht="18.75" x14ac:dyDescent="0.3">
      <c r="A19" s="16"/>
      <c r="B19" s="15">
        <v>3</v>
      </c>
      <c r="C19" s="21" t="s">
        <v>21</v>
      </c>
      <c r="D19" s="18">
        <v>0.7</v>
      </c>
      <c r="E19" s="18">
        <v>3</v>
      </c>
      <c r="F19" s="15" t="s">
        <v>15</v>
      </c>
      <c r="G19" s="35">
        <v>4.71</v>
      </c>
    </row>
    <row r="20" spans="1:7" s="1" customFormat="1" ht="18.75" x14ac:dyDescent="0.3">
      <c r="A20" s="16"/>
      <c r="B20" s="15">
        <v>4</v>
      </c>
      <c r="C20" s="21" t="s">
        <v>22</v>
      </c>
      <c r="D20" s="22">
        <v>0.5</v>
      </c>
      <c r="E20" s="22">
        <v>1</v>
      </c>
      <c r="F20" s="15" t="s">
        <v>15</v>
      </c>
      <c r="G20" s="19">
        <v>0.94</v>
      </c>
    </row>
    <row r="21" spans="1:7" s="1" customFormat="1" ht="18.75" x14ac:dyDescent="0.3">
      <c r="A21" s="16"/>
      <c r="B21" s="15">
        <v>5</v>
      </c>
      <c r="C21" s="21" t="s">
        <v>26</v>
      </c>
      <c r="D21" s="18">
        <v>0.7</v>
      </c>
      <c r="E21" s="22">
        <v>1</v>
      </c>
      <c r="F21" s="15" t="s">
        <v>15</v>
      </c>
      <c r="G21" s="35">
        <v>0.99</v>
      </c>
    </row>
    <row r="22" spans="1:7" s="1" customFormat="1" ht="18.75" x14ac:dyDescent="0.3">
      <c r="A22" s="16"/>
      <c r="B22" s="15">
        <v>6</v>
      </c>
      <c r="C22" s="21" t="s">
        <v>27</v>
      </c>
      <c r="D22" s="18">
        <v>0.5</v>
      </c>
      <c r="E22" s="22">
        <v>2</v>
      </c>
      <c r="F22" s="15" t="s">
        <v>15</v>
      </c>
      <c r="G22" s="19">
        <v>2.2000000000000002</v>
      </c>
    </row>
    <row r="23" spans="1:7" s="1" customFormat="1" ht="18.75" x14ac:dyDescent="0.3">
      <c r="A23" s="16"/>
      <c r="B23" s="15">
        <v>7</v>
      </c>
      <c r="C23" s="21" t="s">
        <v>28</v>
      </c>
      <c r="D23" s="18">
        <v>0.5</v>
      </c>
      <c r="E23" s="22">
        <v>3</v>
      </c>
      <c r="F23" s="15" t="s">
        <v>15</v>
      </c>
      <c r="G23" s="19">
        <v>2.95</v>
      </c>
    </row>
    <row r="24" spans="1:7" s="1" customFormat="1" ht="18.75" x14ac:dyDescent="0.3">
      <c r="A24" s="16"/>
      <c r="B24" s="15">
        <v>8</v>
      </c>
      <c r="C24" s="21" t="s">
        <v>29</v>
      </c>
      <c r="D24" s="18">
        <v>0.5</v>
      </c>
      <c r="E24" s="22">
        <v>1</v>
      </c>
      <c r="F24" s="15" t="s">
        <v>15</v>
      </c>
      <c r="G24" s="19">
        <v>0.59</v>
      </c>
    </row>
    <row r="25" spans="1:7" s="1" customFormat="1" ht="18.75" x14ac:dyDescent="0.3">
      <c r="A25" s="16"/>
      <c r="B25" s="15">
        <v>9</v>
      </c>
      <c r="C25" s="21" t="s">
        <v>30</v>
      </c>
      <c r="D25" s="18">
        <v>0.5</v>
      </c>
      <c r="E25" s="22">
        <v>1</v>
      </c>
      <c r="F25" s="15" t="s">
        <v>15</v>
      </c>
      <c r="G25" s="19">
        <v>0.16</v>
      </c>
    </row>
    <row r="26" spans="1:7" s="1" customFormat="1" ht="18.75" x14ac:dyDescent="0.3">
      <c r="A26" s="20"/>
      <c r="B26" s="15">
        <v>10</v>
      </c>
      <c r="C26" s="24" t="s">
        <v>23</v>
      </c>
      <c r="D26" s="18">
        <v>0.5</v>
      </c>
      <c r="E26" s="22">
        <v>2</v>
      </c>
      <c r="F26" s="15" t="s">
        <v>15</v>
      </c>
      <c r="G26" s="23">
        <v>3.5</v>
      </c>
    </row>
    <row r="27" spans="1:7" s="1" customFormat="1" ht="18.75" x14ac:dyDescent="0.3">
      <c r="A27" s="20"/>
      <c r="B27" s="15">
        <v>11</v>
      </c>
      <c r="C27" s="24" t="s">
        <v>24</v>
      </c>
      <c r="D27" s="18">
        <v>0.5</v>
      </c>
      <c r="E27" s="22">
        <v>1</v>
      </c>
      <c r="F27" s="15" t="s">
        <v>15</v>
      </c>
      <c r="G27" s="23">
        <v>1.4</v>
      </c>
    </row>
    <row r="28" spans="1:7" s="1" customFormat="1" ht="18.75" x14ac:dyDescent="0.3">
      <c r="A28" s="20"/>
      <c r="B28" s="15">
        <v>12</v>
      </c>
      <c r="C28" s="24" t="s">
        <v>25</v>
      </c>
      <c r="D28" s="22">
        <v>0.5</v>
      </c>
      <c r="E28" s="22">
        <v>1</v>
      </c>
      <c r="F28" s="15" t="s">
        <v>15</v>
      </c>
      <c r="G28" s="23">
        <v>0.84</v>
      </c>
    </row>
    <row r="29" spans="1:7" s="1" customFormat="1" ht="18.75" x14ac:dyDescent="0.3">
      <c r="A29" s="20"/>
      <c r="B29" s="15">
        <v>13</v>
      </c>
      <c r="C29" s="24" t="s">
        <v>32</v>
      </c>
      <c r="D29" s="22">
        <v>0.7</v>
      </c>
      <c r="E29" s="22">
        <v>6</v>
      </c>
      <c r="F29" s="15" t="s">
        <v>15</v>
      </c>
      <c r="G29" s="36">
        <v>7.4</v>
      </c>
    </row>
    <row r="30" spans="1:7" s="1" customFormat="1" ht="18.75" x14ac:dyDescent="0.3">
      <c r="A30" s="20"/>
      <c r="B30" s="15">
        <v>14</v>
      </c>
      <c r="C30" s="21" t="s">
        <v>34</v>
      </c>
      <c r="D30" s="22">
        <v>0.7</v>
      </c>
      <c r="E30" s="22">
        <v>2</v>
      </c>
      <c r="F30" s="15" t="s">
        <v>15</v>
      </c>
      <c r="G30" s="36">
        <v>0.82199999999999995</v>
      </c>
    </row>
    <row r="31" spans="1:7" s="1" customFormat="1" ht="18.75" x14ac:dyDescent="0.3">
      <c r="A31" s="20"/>
      <c r="B31" s="15">
        <v>15</v>
      </c>
      <c r="C31" s="21" t="s">
        <v>31</v>
      </c>
      <c r="D31" s="22">
        <v>0.7</v>
      </c>
      <c r="E31" s="22">
        <v>4</v>
      </c>
      <c r="F31" s="15" t="s">
        <v>15</v>
      </c>
      <c r="G31" s="36">
        <v>3.1579999999999999</v>
      </c>
    </row>
    <row r="32" spans="1:7" s="1" customFormat="1" ht="18.75" x14ac:dyDescent="0.3">
      <c r="A32" s="20"/>
      <c r="B32" s="15">
        <v>16</v>
      </c>
      <c r="C32" s="21" t="s">
        <v>33</v>
      </c>
      <c r="D32" s="22">
        <v>0.7</v>
      </c>
      <c r="E32" s="22">
        <v>4</v>
      </c>
      <c r="F32" s="15" t="s">
        <v>15</v>
      </c>
      <c r="G32" s="36">
        <v>1.0529999999999999</v>
      </c>
    </row>
    <row r="33" spans="1:7" s="1" customFormat="1" ht="18.75" x14ac:dyDescent="0.3">
      <c r="A33" s="27"/>
      <c r="B33" s="15">
        <v>17</v>
      </c>
      <c r="C33" s="21" t="s">
        <v>35</v>
      </c>
      <c r="D33" s="29">
        <v>0.5</v>
      </c>
      <c r="E33" s="29">
        <v>1</v>
      </c>
      <c r="F33" s="15" t="s">
        <v>15</v>
      </c>
      <c r="G33" s="30">
        <v>0.49</v>
      </c>
    </row>
    <row r="34" spans="1:7" s="1" customFormat="1" ht="18.75" x14ac:dyDescent="0.3">
      <c r="A34" s="27"/>
      <c r="B34" s="15">
        <v>18</v>
      </c>
      <c r="C34" s="21" t="s">
        <v>36</v>
      </c>
      <c r="D34" s="29">
        <v>0.5</v>
      </c>
      <c r="E34" s="29">
        <v>3</v>
      </c>
      <c r="F34" s="15" t="s">
        <v>15</v>
      </c>
      <c r="G34" s="30">
        <v>0.77400000000000002</v>
      </c>
    </row>
    <row r="35" spans="1:7" s="1" customFormat="1" ht="18.75" x14ac:dyDescent="0.3">
      <c r="A35" s="27"/>
      <c r="B35" s="15">
        <v>19</v>
      </c>
      <c r="C35" s="21" t="s">
        <v>37</v>
      </c>
      <c r="D35" s="29">
        <v>0.5</v>
      </c>
      <c r="E35" s="29">
        <v>4</v>
      </c>
      <c r="F35" s="15" t="s">
        <v>15</v>
      </c>
      <c r="G35" s="30">
        <v>1.234</v>
      </c>
    </row>
    <row r="36" spans="1:7" s="1" customFormat="1" ht="18.75" x14ac:dyDescent="0.3">
      <c r="A36" s="27"/>
      <c r="B36" s="15">
        <v>20</v>
      </c>
      <c r="C36" s="21" t="s">
        <v>38</v>
      </c>
      <c r="D36" s="29">
        <v>0.5</v>
      </c>
      <c r="E36" s="29">
        <v>1</v>
      </c>
      <c r="F36" s="15" t="s">
        <v>15</v>
      </c>
      <c r="G36" s="30">
        <v>0.19700000000000001</v>
      </c>
    </row>
    <row r="37" spans="1:7" s="1" customFormat="1" ht="18.75" x14ac:dyDescent="0.3">
      <c r="A37" s="27"/>
      <c r="B37" s="15">
        <v>21</v>
      </c>
      <c r="C37" s="28" t="s">
        <v>39</v>
      </c>
      <c r="D37" s="29">
        <v>0.5</v>
      </c>
      <c r="E37" s="29">
        <v>1</v>
      </c>
      <c r="F37" s="15" t="s">
        <v>15</v>
      </c>
      <c r="G37" s="30">
        <v>0.63600000000000001</v>
      </c>
    </row>
    <row r="38" spans="1:7" s="1" customFormat="1" ht="18.75" x14ac:dyDescent="0.3">
      <c r="A38" s="27"/>
      <c r="B38" s="15">
        <v>22</v>
      </c>
      <c r="C38" s="28" t="s">
        <v>40</v>
      </c>
      <c r="D38" s="29">
        <v>0.5</v>
      </c>
      <c r="E38" s="29">
        <v>1</v>
      </c>
      <c r="F38" s="15" t="s">
        <v>15</v>
      </c>
      <c r="G38" s="30">
        <v>0.52600000000000002</v>
      </c>
    </row>
    <row r="39" spans="1:7" s="1" customFormat="1" ht="18.75" x14ac:dyDescent="0.3">
      <c r="A39" s="27"/>
      <c r="B39" s="15">
        <v>23</v>
      </c>
      <c r="C39" s="28" t="s">
        <v>41</v>
      </c>
      <c r="D39" s="29">
        <v>0.5</v>
      </c>
      <c r="E39" s="29">
        <v>2</v>
      </c>
      <c r="F39" s="15" t="s">
        <v>15</v>
      </c>
      <c r="G39" s="30">
        <v>0.72</v>
      </c>
    </row>
    <row r="40" spans="1:7" s="1" customFormat="1" ht="18.75" x14ac:dyDescent="0.3">
      <c r="A40" s="27"/>
      <c r="B40" s="15">
        <v>24</v>
      </c>
      <c r="C40" s="28" t="s">
        <v>42</v>
      </c>
      <c r="D40" s="29">
        <v>0.5</v>
      </c>
      <c r="E40" s="29">
        <v>1</v>
      </c>
      <c r="F40" s="15" t="s">
        <v>15</v>
      </c>
      <c r="G40" s="30">
        <v>0.47399999999999998</v>
      </c>
    </row>
    <row r="41" spans="1:7" s="1" customFormat="1" ht="18.75" x14ac:dyDescent="0.3">
      <c r="A41" s="27"/>
      <c r="B41" s="15">
        <v>25</v>
      </c>
      <c r="C41" s="28" t="s">
        <v>43</v>
      </c>
      <c r="D41" s="29">
        <v>0.5</v>
      </c>
      <c r="E41" s="29">
        <v>1</v>
      </c>
      <c r="F41" s="15" t="s">
        <v>15</v>
      </c>
      <c r="G41" s="30">
        <v>0.28100000000000003</v>
      </c>
    </row>
    <row r="42" spans="1:7" s="1" customFormat="1" ht="18.75" x14ac:dyDescent="0.3">
      <c r="A42" s="27"/>
      <c r="B42" s="15">
        <v>26</v>
      </c>
      <c r="C42" s="28" t="s">
        <v>44</v>
      </c>
      <c r="D42" s="29">
        <v>0.5</v>
      </c>
      <c r="E42" s="29">
        <v>2</v>
      </c>
      <c r="F42" s="15" t="s">
        <v>15</v>
      </c>
      <c r="G42" s="30">
        <v>0.41799999999999998</v>
      </c>
    </row>
    <row r="43" spans="1:7" s="1" customFormat="1" ht="18.75" x14ac:dyDescent="0.3">
      <c r="A43" s="27"/>
      <c r="B43" s="15">
        <v>27</v>
      </c>
      <c r="C43" s="28" t="s">
        <v>45</v>
      </c>
      <c r="D43" s="29">
        <v>0.5</v>
      </c>
      <c r="E43" s="29">
        <v>1</v>
      </c>
      <c r="F43" s="15" t="s">
        <v>15</v>
      </c>
      <c r="G43" s="30">
        <v>0.43099999999999999</v>
      </c>
    </row>
    <row r="44" spans="1:7" s="1" customFormat="1" ht="18.75" x14ac:dyDescent="0.3">
      <c r="A44" s="27"/>
      <c r="B44" s="15">
        <v>28</v>
      </c>
      <c r="C44" s="28" t="s">
        <v>46</v>
      </c>
      <c r="D44" s="29">
        <v>0.5</v>
      </c>
      <c r="E44" s="29">
        <v>1</v>
      </c>
      <c r="F44" s="15" t="s">
        <v>15</v>
      </c>
      <c r="G44" s="30">
        <v>0.4</v>
      </c>
    </row>
    <row r="45" spans="1:7" s="1" customFormat="1" ht="18.75" x14ac:dyDescent="0.3">
      <c r="A45" s="27"/>
      <c r="B45" s="15">
        <v>29</v>
      </c>
      <c r="C45" s="28" t="s">
        <v>47</v>
      </c>
      <c r="D45" s="29">
        <v>0.5</v>
      </c>
      <c r="E45" s="29">
        <v>1</v>
      </c>
      <c r="F45" s="15" t="s">
        <v>15</v>
      </c>
      <c r="G45" s="30">
        <v>0.27800000000000002</v>
      </c>
    </row>
    <row r="46" spans="1:7" s="1" customFormat="1" ht="18.75" x14ac:dyDescent="0.3">
      <c r="A46" s="27"/>
      <c r="B46" s="15">
        <v>30</v>
      </c>
      <c r="C46" s="28" t="s">
        <v>48</v>
      </c>
      <c r="D46" s="29">
        <v>0.5</v>
      </c>
      <c r="E46" s="29">
        <v>1</v>
      </c>
      <c r="F46" s="15" t="s">
        <v>15</v>
      </c>
      <c r="G46" s="30">
        <v>0.08</v>
      </c>
    </row>
    <row r="47" spans="1:7" s="1" customFormat="1" ht="18.75" x14ac:dyDescent="0.3">
      <c r="A47" s="27"/>
      <c r="B47" s="15"/>
      <c r="C47" s="31" t="s">
        <v>49</v>
      </c>
      <c r="D47" s="29"/>
      <c r="E47" s="29"/>
      <c r="F47" s="15"/>
      <c r="G47" s="38">
        <f>SUM(G17:G46)</f>
        <v>43.931999999999995</v>
      </c>
    </row>
    <row r="48" spans="1:7" s="1" customFormat="1" ht="18.75" x14ac:dyDescent="0.3">
      <c r="A48" s="27"/>
      <c r="B48" s="15">
        <v>31</v>
      </c>
      <c r="C48" s="32" t="s">
        <v>51</v>
      </c>
      <c r="D48" s="29">
        <v>0.5</v>
      </c>
      <c r="E48" s="29">
        <v>10</v>
      </c>
      <c r="F48" s="15" t="s">
        <v>15</v>
      </c>
      <c r="G48" s="37">
        <v>7.85</v>
      </c>
    </row>
    <row r="49" spans="1:7" s="1" customFormat="1" ht="18.75" x14ac:dyDescent="0.3">
      <c r="A49" s="27"/>
      <c r="B49" s="15">
        <v>32</v>
      </c>
      <c r="C49" s="32" t="s">
        <v>52</v>
      </c>
      <c r="D49" s="29">
        <v>0.5</v>
      </c>
      <c r="E49" s="29">
        <v>1</v>
      </c>
      <c r="F49" s="15" t="s">
        <v>15</v>
      </c>
      <c r="G49" s="30">
        <v>0.31</v>
      </c>
    </row>
    <row r="50" spans="1:7" s="1" customFormat="1" ht="18.75" x14ac:dyDescent="0.3">
      <c r="A50" s="27"/>
      <c r="B50" s="15">
        <v>33</v>
      </c>
      <c r="C50" s="32" t="s">
        <v>53</v>
      </c>
      <c r="D50" s="29">
        <v>0.5</v>
      </c>
      <c r="E50" s="29">
        <v>7</v>
      </c>
      <c r="F50" s="15" t="s">
        <v>15</v>
      </c>
      <c r="G50" s="30">
        <v>4.4000000000000004</v>
      </c>
    </row>
    <row r="51" spans="1:7" s="1" customFormat="1" ht="18.75" x14ac:dyDescent="0.3">
      <c r="A51" s="27"/>
      <c r="B51" s="15">
        <v>34</v>
      </c>
      <c r="C51" s="32" t="s">
        <v>54</v>
      </c>
      <c r="D51" s="29">
        <v>0.5</v>
      </c>
      <c r="E51" s="29">
        <v>1</v>
      </c>
      <c r="F51" s="15" t="s">
        <v>15</v>
      </c>
      <c r="G51" s="30">
        <v>0.13</v>
      </c>
    </row>
    <row r="52" spans="1:7" s="1" customFormat="1" ht="18.75" x14ac:dyDescent="0.3">
      <c r="A52" s="27"/>
      <c r="B52" s="15">
        <v>35</v>
      </c>
      <c r="C52" s="32" t="s">
        <v>55</v>
      </c>
      <c r="D52" s="29">
        <v>0.5</v>
      </c>
      <c r="E52" s="29">
        <v>2</v>
      </c>
      <c r="F52" s="15" t="s">
        <v>15</v>
      </c>
      <c r="G52" s="30">
        <v>0.98</v>
      </c>
    </row>
    <row r="53" spans="1:7" s="1" customFormat="1" ht="18.75" x14ac:dyDescent="0.3">
      <c r="A53" s="27"/>
      <c r="B53" s="15">
        <v>36</v>
      </c>
      <c r="C53" s="32" t="s">
        <v>56</v>
      </c>
      <c r="D53" s="29">
        <v>0.5</v>
      </c>
      <c r="E53" s="29">
        <v>2</v>
      </c>
      <c r="F53" s="15" t="s">
        <v>15</v>
      </c>
      <c r="G53" s="30">
        <v>0.79</v>
      </c>
    </row>
    <row r="54" spans="1:7" s="1" customFormat="1" ht="18.75" x14ac:dyDescent="0.3">
      <c r="A54" s="27"/>
      <c r="B54" s="15">
        <v>37</v>
      </c>
      <c r="C54" s="32" t="s">
        <v>57</v>
      </c>
      <c r="D54" s="29">
        <v>0.5</v>
      </c>
      <c r="E54" s="29">
        <v>1</v>
      </c>
      <c r="F54" s="15" t="s">
        <v>15</v>
      </c>
      <c r="G54" s="30">
        <v>0.06</v>
      </c>
    </row>
    <row r="55" spans="1:7" s="1" customFormat="1" ht="18.75" x14ac:dyDescent="0.3">
      <c r="A55" s="27"/>
      <c r="B55" s="15">
        <v>38</v>
      </c>
      <c r="C55" s="32" t="s">
        <v>58</v>
      </c>
      <c r="D55" s="29">
        <v>0.5</v>
      </c>
      <c r="E55" s="29">
        <v>6</v>
      </c>
      <c r="F55" s="15" t="s">
        <v>15</v>
      </c>
      <c r="G55" s="30">
        <v>1.1839999999999999</v>
      </c>
    </row>
    <row r="56" spans="1:7" s="1" customFormat="1" ht="18.75" x14ac:dyDescent="0.3">
      <c r="A56" s="27"/>
      <c r="B56" s="15">
        <v>39</v>
      </c>
      <c r="C56" s="32" t="s">
        <v>59</v>
      </c>
      <c r="D56" s="29">
        <v>0.5</v>
      </c>
      <c r="E56" s="29">
        <v>2</v>
      </c>
      <c r="F56" s="15" t="s">
        <v>15</v>
      </c>
      <c r="G56" s="30">
        <v>0.13200000000000001</v>
      </c>
    </row>
    <row r="57" spans="1:7" s="1" customFormat="1" ht="18.75" x14ac:dyDescent="0.3">
      <c r="A57" s="27"/>
      <c r="B57" s="15">
        <v>40</v>
      </c>
      <c r="C57" s="32" t="s">
        <v>60</v>
      </c>
      <c r="D57" s="29">
        <v>0.5</v>
      </c>
      <c r="E57" s="29">
        <v>1</v>
      </c>
      <c r="F57" s="15" t="s">
        <v>15</v>
      </c>
      <c r="G57" s="30">
        <v>0.126</v>
      </c>
    </row>
    <row r="58" spans="1:7" s="1" customFormat="1" ht="18.75" x14ac:dyDescent="0.3">
      <c r="A58" s="27"/>
      <c r="B58" s="15">
        <v>41</v>
      </c>
      <c r="C58" s="32" t="s">
        <v>61</v>
      </c>
      <c r="D58" s="29">
        <v>0.5</v>
      </c>
      <c r="E58" s="29">
        <v>4</v>
      </c>
      <c r="F58" s="15" t="s">
        <v>15</v>
      </c>
      <c r="G58" s="30">
        <v>0.253</v>
      </c>
    </row>
    <row r="59" spans="1:7" s="1" customFormat="1" ht="18.75" x14ac:dyDescent="0.3">
      <c r="A59" s="27"/>
      <c r="B59" s="15">
        <v>42</v>
      </c>
      <c r="C59" s="32" t="s">
        <v>62</v>
      </c>
      <c r="D59" s="29">
        <v>0.5</v>
      </c>
      <c r="E59" s="29">
        <v>9</v>
      </c>
      <c r="F59" s="15" t="s">
        <v>15</v>
      </c>
      <c r="G59" s="30">
        <v>0.44400000000000001</v>
      </c>
    </row>
    <row r="60" spans="1:7" s="1" customFormat="1" ht="18.75" x14ac:dyDescent="0.3">
      <c r="A60" s="27"/>
      <c r="B60" s="15">
        <v>43</v>
      </c>
      <c r="C60" s="32" t="s">
        <v>69</v>
      </c>
      <c r="D60" s="29">
        <v>0.5</v>
      </c>
      <c r="E60" s="29">
        <v>1</v>
      </c>
      <c r="F60" s="15" t="s">
        <v>15</v>
      </c>
      <c r="G60" s="30">
        <v>0.2</v>
      </c>
    </row>
    <row r="61" spans="1:7" s="1" customFormat="1" ht="18.75" x14ac:dyDescent="0.3">
      <c r="A61" s="27"/>
      <c r="B61" s="15">
        <v>44</v>
      </c>
      <c r="C61" s="32" t="s">
        <v>65</v>
      </c>
      <c r="D61" s="29">
        <v>0.5</v>
      </c>
      <c r="E61" s="29">
        <v>4</v>
      </c>
      <c r="F61" s="15" t="s">
        <v>15</v>
      </c>
      <c r="G61" s="30">
        <v>0.60499999999999998</v>
      </c>
    </row>
    <row r="62" spans="1:7" s="1" customFormat="1" ht="18.75" x14ac:dyDescent="0.3">
      <c r="A62" s="27"/>
      <c r="B62" s="15">
        <v>45</v>
      </c>
      <c r="C62" s="32" t="s">
        <v>70</v>
      </c>
      <c r="D62" s="29">
        <v>0.5</v>
      </c>
      <c r="E62" s="29">
        <v>2</v>
      </c>
      <c r="F62" s="15" t="s">
        <v>15</v>
      </c>
      <c r="G62" s="30">
        <v>0.249</v>
      </c>
    </row>
    <row r="63" spans="1:7" s="1" customFormat="1" ht="18.75" x14ac:dyDescent="0.3">
      <c r="A63" s="27"/>
      <c r="B63" s="15">
        <v>46</v>
      </c>
      <c r="C63" s="32" t="s">
        <v>71</v>
      </c>
      <c r="D63" s="29">
        <v>0.5</v>
      </c>
      <c r="E63" s="29">
        <v>1</v>
      </c>
      <c r="F63" s="15" t="s">
        <v>15</v>
      </c>
      <c r="G63" s="37">
        <v>0.2</v>
      </c>
    </row>
    <row r="64" spans="1:7" s="1" customFormat="1" ht="18.75" x14ac:dyDescent="0.3">
      <c r="A64" s="27"/>
      <c r="B64" s="15">
        <v>47</v>
      </c>
      <c r="C64" s="32" t="s">
        <v>66</v>
      </c>
      <c r="D64" s="29">
        <v>0.5</v>
      </c>
      <c r="E64" s="29">
        <v>2</v>
      </c>
      <c r="F64" s="15" t="s">
        <v>15</v>
      </c>
      <c r="G64" s="30">
        <v>0.22500000000000001</v>
      </c>
    </row>
    <row r="65" spans="1:7" s="1" customFormat="1" ht="18.75" x14ac:dyDescent="0.3">
      <c r="A65" s="27"/>
      <c r="B65" s="15">
        <v>48</v>
      </c>
      <c r="C65" s="32" t="s">
        <v>67</v>
      </c>
      <c r="D65" s="29">
        <v>0.5</v>
      </c>
      <c r="E65" s="29">
        <v>2</v>
      </c>
      <c r="F65" s="15" t="s">
        <v>15</v>
      </c>
      <c r="G65" s="30">
        <v>0.17699999999999999</v>
      </c>
    </row>
    <row r="66" spans="1:7" s="1" customFormat="1" ht="18.75" x14ac:dyDescent="0.3">
      <c r="A66" s="27"/>
      <c r="B66" s="15"/>
      <c r="C66" s="31" t="s">
        <v>50</v>
      </c>
      <c r="D66" s="29"/>
      <c r="E66" s="29"/>
      <c r="F66" s="15"/>
      <c r="G66" s="38">
        <f>SUM(G48:G65)</f>
        <v>18.314999999999998</v>
      </c>
    </row>
    <row r="67" spans="1:7" s="1" customFormat="1" ht="18.75" x14ac:dyDescent="0.3">
      <c r="A67" s="27"/>
      <c r="B67" s="15">
        <v>49</v>
      </c>
      <c r="C67" s="32" t="s">
        <v>56</v>
      </c>
      <c r="D67" s="29">
        <v>0.5</v>
      </c>
      <c r="E67" s="29">
        <v>4</v>
      </c>
      <c r="F67" s="15" t="s">
        <v>15</v>
      </c>
      <c r="G67" s="30">
        <v>1.57</v>
      </c>
    </row>
    <row r="68" spans="1:7" s="1" customFormat="1" ht="18.75" x14ac:dyDescent="0.3">
      <c r="A68" s="27"/>
      <c r="B68" s="15">
        <v>50</v>
      </c>
      <c r="C68" s="32" t="s">
        <v>68</v>
      </c>
      <c r="D68" s="29">
        <v>0.5</v>
      </c>
      <c r="E68" s="29">
        <v>1</v>
      </c>
      <c r="F68" s="15" t="s">
        <v>15</v>
      </c>
      <c r="G68" s="30">
        <v>0.31</v>
      </c>
    </row>
    <row r="69" spans="1:7" s="1" customFormat="1" ht="18.75" x14ac:dyDescent="0.3">
      <c r="A69" s="27"/>
      <c r="B69" s="15">
        <v>51</v>
      </c>
      <c r="C69" s="32" t="s">
        <v>67</v>
      </c>
      <c r="D69" s="29">
        <v>0.5</v>
      </c>
      <c r="E69" s="29">
        <v>2</v>
      </c>
      <c r="F69" s="15" t="s">
        <v>15</v>
      </c>
      <c r="G69" s="30">
        <v>0.17699999999999999</v>
      </c>
    </row>
    <row r="70" spans="1:7" s="1" customFormat="1" ht="18.75" x14ac:dyDescent="0.3">
      <c r="A70" s="27"/>
      <c r="B70" s="15">
        <v>52</v>
      </c>
      <c r="C70" s="32" t="s">
        <v>62</v>
      </c>
      <c r="D70" s="29">
        <v>0.5</v>
      </c>
      <c r="E70" s="29">
        <v>3</v>
      </c>
      <c r="F70" s="15" t="s">
        <v>15</v>
      </c>
      <c r="G70" s="30">
        <v>0.14799999999999999</v>
      </c>
    </row>
    <row r="71" spans="1:7" s="1" customFormat="1" ht="18.75" x14ac:dyDescent="0.3">
      <c r="A71" s="27"/>
      <c r="B71" s="15">
        <v>53</v>
      </c>
      <c r="C71" s="32" t="s">
        <v>63</v>
      </c>
      <c r="D71" s="29">
        <v>0.5</v>
      </c>
      <c r="E71" s="29">
        <v>2</v>
      </c>
      <c r="F71" s="15" t="s">
        <v>15</v>
      </c>
      <c r="G71" s="30">
        <v>4.9000000000000002E-2</v>
      </c>
    </row>
    <row r="72" spans="1:7" s="1" customFormat="1" ht="18.75" x14ac:dyDescent="0.3">
      <c r="A72" s="27"/>
      <c r="B72" s="39">
        <v>54</v>
      </c>
      <c r="C72" s="33" t="s">
        <v>64</v>
      </c>
      <c r="D72" s="29">
        <v>0.5</v>
      </c>
      <c r="E72" s="29">
        <v>1</v>
      </c>
      <c r="F72" s="39" t="s">
        <v>15</v>
      </c>
      <c r="G72" s="30">
        <v>0.2</v>
      </c>
    </row>
    <row r="73" spans="1:7" s="1" customFormat="1" ht="18.75" x14ac:dyDescent="0.3">
      <c r="A73" s="20"/>
      <c r="B73" s="51"/>
      <c r="C73" s="52"/>
      <c r="D73" s="22"/>
      <c r="E73" s="22"/>
      <c r="F73" s="51"/>
      <c r="G73" s="53">
        <f>SUM(G67:G72)</f>
        <v>2.4540000000000002</v>
      </c>
    </row>
    <row r="75" spans="1:7" ht="18.75" x14ac:dyDescent="0.3">
      <c r="A75" s="54" t="s">
        <v>73</v>
      </c>
      <c r="B75" s="54"/>
      <c r="C75" s="54"/>
      <c r="D75" s="54"/>
      <c r="E75" s="54"/>
      <c r="F75" s="54"/>
      <c r="G75" s="5">
        <f>G73+G66+G47</f>
        <v>64.700999999999993</v>
      </c>
    </row>
  </sheetData>
  <mergeCells count="11">
    <mergeCell ref="A13:G14"/>
    <mergeCell ref="A75:F75"/>
    <mergeCell ref="A10:B10"/>
    <mergeCell ref="A11:B11"/>
    <mergeCell ref="A1:B7"/>
    <mergeCell ref="C1:G1"/>
    <mergeCell ref="C3:G3"/>
    <mergeCell ref="C4:G4"/>
    <mergeCell ref="C5:G5"/>
    <mergeCell ref="C6:G6"/>
    <mergeCell ref="C2:G2"/>
  </mergeCells>
  <pageMargins left="0.54312499999999997" right="0.45260416666666664" top="0" bottom="0.75" header="0.3" footer="0.3"/>
  <pageSetup paperSize="9" scale="58" orientation="portrait" r:id="rId1"/>
  <rowBreaks count="1" manualBreakCount="1">
    <brk id="7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MAGOMED</cp:lastModifiedBy>
  <cp:lastPrinted>2025-07-30T09:13:45Z</cp:lastPrinted>
  <dcterms:created xsi:type="dcterms:W3CDTF">2024-12-12T10:46:00Z</dcterms:created>
  <dcterms:modified xsi:type="dcterms:W3CDTF">2025-10-13T06:32:22Z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484D0653C7E446E6A2E92CF7852BAC8D_12</vt:lpwstr>
  </property>
  <property fmtid="{D5CDD505-2E9C-101B-9397-08002B2CF9AE}" pid="3" name="KSOProductBuildVer">
    <vt:lpwstr>1049-12.2.0.19805</vt:lpwstr>
  </property>
</Properties>
</file>